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2ffc45ac6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确认总览" sheetId="1" r:id="R40f127e3f6d74839"/>
    <x:sheet xmlns:r="http://schemas.openxmlformats.org/officeDocument/2006/relationships" name="44条逐项映射" sheetId="2" r:id="Ra8ff254c1bb04baf"/>
    <x:sheet xmlns:r="http://schemas.openxmlformats.org/officeDocument/2006/relationships" name="口径与审批" sheetId="3" r:id="R46a989afa7d2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1"/>
      <x:name val="Carlito"/>
    </x:font>
    <x:font>
      <x:b/>
      <x:sz val="18"/>
      <x:color rgb="FFFFFFFF"/>
      <x:name val="Carlito"/>
    </x:font>
    <x:font>
      <x:sz val="11"/>
      <x:color rgb="FF17365D"/>
      <x:name val="Carlito"/>
    </x:font>
    <x:font>
      <x:b/>
      <x:sz val="11"/>
      <x:color rgb="FF8A5A00"/>
      <x:name val="Carlito"/>
    </x:font>
    <x:font>
      <x:b/>
      <x:sz val="11"/>
      <x:color rgb="FFFFFFFF"/>
      <x:name val="Carlito"/>
    </x:font>
    <x:font>
      <x:b/>
      <x:sz val="22"/>
      <x:color rgb="FF17365D"/>
      <x:name val="Carlito"/>
    </x:font>
    <x:font>
      <x:b/>
      <x:sz val="22"/>
      <x:color rgb="FF276221"/>
      <x:name val="Carlito"/>
    </x:font>
    <x:font>
      <x:b/>
      <x:sz val="22"/>
      <x:color rgb="FF8A5A00"/>
      <x:name val="Carlito"/>
    </x:font>
    <x:font>
      <x:b/>
      <x:sz val="22"/>
      <x:color rgb="FF9C0006"/>
      <x:name val="Carlito"/>
    </x:font>
    <x:font>
      <x:b/>
      <x:sz val="11"/>
      <x:color rgb="FF17365D"/>
      <x:name val="Carlito"/>
    </x:font>
    <x:font>
      <x:b/>
      <x:sz val="18"/>
      <x:color rgb="FFFFFFFF"/>
      <x:name val="Microsoft YaHei"/>
    </x:font>
    <x:font>
      <x:sz val="11"/>
      <x:name val="Microsoft YaHei"/>
    </x:font>
    <x:font>
      <x:sz val="11"/>
      <x:color rgb="FF17365D"/>
      <x:name val="Microsoft YaHei"/>
    </x:font>
    <x:font>
      <x:b/>
      <x:sz val="11"/>
      <x:color rgb="FF8A5A00"/>
      <x:name val="Microsoft YaHei"/>
    </x:font>
    <x:font>
      <x:b/>
      <x:sz val="11"/>
      <x:color rgb="FFFFFFFF"/>
      <x:name val="Microsoft YaHei"/>
    </x:font>
    <x:font>
      <x:b/>
      <x:sz val="22"/>
      <x:color rgb="FF17365D"/>
      <x:name val="Microsoft YaHei"/>
    </x:font>
    <x:font>
      <x:b/>
      <x:sz val="22"/>
      <x:color rgb="FF276221"/>
      <x:name val="Microsoft YaHei"/>
    </x:font>
    <x:font>
      <x:b/>
      <x:sz val="22"/>
      <x:color rgb="FF8A5A00"/>
      <x:name val="Microsoft YaHei"/>
    </x:font>
    <x:font>
      <x:b/>
      <x:sz val="22"/>
      <x:color rgb="FF9C0006"/>
      <x:name val="Microsoft YaHei"/>
    </x:font>
    <x:font>
      <x:b/>
      <x:sz val="11"/>
      <x:color rgb="FF17365D"/>
      <x:name val="Microsoft YaHei"/>
    </x:font>
    <x:font>
      <x:i/>
      <x:sz val="11"/>
      <x:color rgb="FF17365D"/>
      <x:name val="Carlito"/>
    </x:font>
    <x:font>
      <x:i/>
      <x:sz val="11"/>
      <x:color rgb="FF17365D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FFF9E6"/>
      </x:patternFill>
    </x:fill>
  </x:fills>
  <x:borders count="11">
    <x:border/>
    <x:border>
      <x:left style="thin">
        <x:color rgb="FFC9D3DF"/>
      </x:left>
      <x:top style="thin">
        <x:color rgb="FFC9D3DF"/>
      </x:top>
    </x:border>
    <x:border>
      <x:right style="thin">
        <x:color rgb="FFC9D3DF"/>
      </x:right>
      <x:top style="thin">
        <x:color rgb="FFC9D3DF"/>
      </x:top>
    </x:border>
    <x:border>
      <x:left style="thin">
        <x:color rgb="FFC9D3DF"/>
      </x:left>
    </x:border>
    <x:border>
      <x:right style="thin">
        <x:color rgb="FFC9D3DF"/>
      </x:right>
    </x:border>
    <x:border>
      <x:left style="thin">
        <x:color rgb="FFC9D3DF"/>
      </x:left>
      <x:bottom style="thin">
        <x:color rgb="FFC9D3DF"/>
      </x:bottom>
    </x:border>
    <x:border>
      <x:right style="thin">
        <x:color rgb="FFC9D3DF"/>
      </x:right>
      <x:bottom style="thin">
        <x:color rgb="FFC9D3DF"/>
      </x:bottom>
    </x:border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  <x:border>
      <x:left style="thin">
        <x:color rgb="FFC9D3DF"/>
      </x:left>
      <x:top style="thin">
        <x:color rgb="FFC9D3DF"/>
      </x:top>
      <x:bottom style="thin">
        <x:color rgb="FFC9D3DF"/>
      </x:bottom>
    </x:border>
    <x:border>
      <x:top style="thin">
        <x:color rgb="FFC9D3DF"/>
      </x:top>
      <x:bottom style="thin">
        <x:color rgb="FFC9D3DF"/>
      </x:bottom>
    </x:border>
    <x:border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2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/>
    </x:xf>
    <x:xf numFmtId="0" fontId="5" fillId="6" borderId="5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2" xfId="0" applyNumberFormat="1" applyFont="1" applyFill="1" applyBorder="1" applyAlignment="1">
      <x:alignment horizontal="center"/>
    </x:xf>
    <x:xf numFmtId="0" fontId="6" fillId="7" borderId="3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0" fontId="6" fillId="7" borderId="6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6" fillId="7" borderId="4" xfId="0" applyNumberFormat="1" applyFont="1" applyFill="1" applyBorder="1" applyAlignment="1">
      <x:alignment horizontal="center" vertical="center"/>
    </x:xf>
    <x:xf numFmtId="0" fontId="6" fillId="7" borderId="5" xfId="0" applyNumberFormat="1" applyFont="1" applyFill="1" applyBorder="1" applyAlignment="1">
      <x:alignment horizontal="center" vertical="center"/>
    </x:xf>
    <x:xf numFmtId="0" fontId="6" fillId="7" borderId="6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2" xfId="0" applyNumberFormat="1" applyFont="1" applyFill="1" applyBorder="1" applyAlignment="1">
      <x:alignment horizontal="center"/>
    </x:xf>
    <x:xf numFmtId="0" fontId="7" fillId="4" borderId="3" xfId="0" applyNumberFormat="1" applyFont="1" applyFill="1" applyBorder="1" applyAlignment="1">
      <x:alignment horizontal="center"/>
    </x:xf>
    <x:xf numFmtId="0" fontId="7" fillId="4" borderId="4" xfId="0" applyNumberFormat="1" applyFont="1" applyFill="1" applyBorder="1" applyAlignment="1">
      <x:alignment horizontal="center"/>
    </x:xf>
    <x:xf numFmtId="0" fontId="7" fillId="4" borderId="5" xfId="0" applyNumberFormat="1" applyFont="1" applyFill="1" applyBorder="1" applyAlignment="1">
      <x:alignment horizontal="center"/>
    </x:xf>
    <x:xf numFmtId="0" fontId="7" fillId="4" borderId="6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7" fillId="4" borderId="3" xfId="0" applyNumberFormat="1" applyFont="1" applyFill="1" applyBorder="1" applyAlignment="1">
      <x:alignment horizontal="center" vertical="center"/>
    </x:xf>
    <x:xf numFmtId="0" fontId="7" fillId="4" borderId="4" xfId="0" applyNumberFormat="1" applyFont="1" applyFill="1" applyBorder="1" applyAlignment="1">
      <x:alignment horizontal="center" vertical="center"/>
    </x:xf>
    <x:xf numFmtId="0" fontId="7" fillId="4" borderId="5" xfId="0" applyNumberFormat="1" applyFont="1" applyFill="1" applyBorder="1" applyAlignment="1">
      <x:alignment horizontal="center" vertical="center"/>
    </x:xf>
    <x:xf numFmtId="0" fontId="7" fillId="4" borderId="6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8" fillId="8" borderId="2" xfId="0" applyNumberFormat="1" applyFont="1" applyFill="1" applyBorder="1" applyAlignment="1">
      <x:alignment horizontal="center"/>
    </x:xf>
    <x:xf numFmtId="0" fontId="8" fillId="8" borderId="3" xfId="0" applyNumberFormat="1" applyFont="1" applyFill="1" applyBorder="1" applyAlignment="1">
      <x:alignment horizontal="center"/>
    </x:xf>
    <x:xf numFmtId="0" fontId="8" fillId="8" borderId="4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8" fillId="8" borderId="6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8" fillId="8" borderId="4" xfId="0" applyNumberFormat="1" applyFont="1" applyFill="1" applyBorder="1" applyAlignment="1">
      <x:alignment horizontal="center" vertical="center"/>
    </x:xf>
    <x:xf numFmtId="0" fontId="8" fillId="8" borderId="5" xfId="0" applyNumberFormat="1" applyFont="1" applyFill="1" applyBorder="1" applyAlignment="1">
      <x:alignment horizontal="center" vertical="center"/>
    </x:xf>
    <x:xf numFmtId="0" fontId="8" fillId="8" borderId="6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3" borderId="7" xfId="0" applyNumberFormat="1" applyFont="1" applyFill="1" applyBorder="1"/>
    <x:xf numFmtId="0" fontId="0" fillId="10" borderId="7" xfId="0" applyNumberFormat="1" applyFont="1" applyFill="1" applyBorder="1"/>
    <x:xf numFmtId="0" fontId="9" fillId="10" borderId="7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2" fillId="3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horizontal="center" vertical="center"/>
    </x:xf>
    <x:xf numFmtId="0" fontId="15" fillId="6" borderId="1" xfId="0" applyNumberFormat="1" applyFont="1" applyFill="1" applyBorder="1" applyAlignment="1">
      <x:alignment horizontal="center" vertical="center"/>
    </x:xf>
    <x:xf numFmtId="0" fontId="15" fillId="6" borderId="2" xfId="0" applyNumberFormat="1" applyFont="1" applyFill="1" applyBorder="1" applyAlignment="1">
      <x:alignment horizontal="center" vertical="center"/>
    </x:xf>
    <x:xf numFmtId="0" fontId="16" fillId="7" borderId="1" xfId="0" applyNumberFormat="1" applyFont="1" applyFill="1" applyBorder="1" applyAlignment="1">
      <x:alignment horizontal="center" vertical="center"/>
    </x:xf>
    <x:xf numFmtId="0" fontId="16" fillId="7" borderId="2" xfId="0" applyNumberFormat="1" applyFont="1" applyFill="1" applyBorder="1" applyAlignment="1">
      <x:alignment horizontal="center" vertical="center"/>
    </x:xf>
    <x:xf numFmtId="0" fontId="17" fillId="4" borderId="1" xfId="0" applyNumberFormat="1" applyFont="1" applyFill="1" applyBorder="1" applyAlignment="1">
      <x:alignment horizontal="center" vertical="center"/>
    </x:xf>
    <x:xf numFmtId="0" fontId="17" fillId="4" borderId="2" xfId="0" applyNumberFormat="1" applyFont="1" applyFill="1" applyBorder="1" applyAlignment="1">
      <x:alignment horizontal="center" vertical="center"/>
    </x:xf>
    <x:xf numFmtId="0" fontId="18" fillId="8" borderId="1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horizontal="center" vertical="center"/>
    </x:xf>
    <x:xf numFmtId="0" fontId="15" fillId="6" borderId="3" xfId="0" applyNumberFormat="1" applyFont="1" applyFill="1" applyBorder="1" applyAlignment="1">
      <x:alignment horizontal="center" vertical="center"/>
    </x:xf>
    <x:xf numFmtId="0" fontId="15" fillId="6" borderId="4" xfId="0" applyNumberFormat="1" applyFont="1" applyFill="1" applyBorder="1" applyAlignment="1">
      <x:alignment horizontal="center" vertical="center"/>
    </x:xf>
    <x:xf numFmtId="0" fontId="16" fillId="7" borderId="3" xfId="0" applyNumberFormat="1" applyFont="1" applyFill="1" applyBorder="1" applyAlignment="1">
      <x:alignment horizontal="center" vertical="center"/>
    </x:xf>
    <x:xf numFmtId="0" fontId="16" fillId="7" borderId="4" xfId="0" applyNumberFormat="1" applyFont="1" applyFill="1" applyBorder="1" applyAlignment="1">
      <x:alignment horizontal="center" vertical="center"/>
    </x:xf>
    <x:xf numFmtId="0" fontId="17" fillId="4" borderId="3" xfId="0" applyNumberFormat="1" applyFont="1" applyFill="1" applyBorder="1" applyAlignment="1">
      <x:alignment horizontal="center" vertical="center"/>
    </x:xf>
    <x:xf numFmtId="0" fontId="17" fillId="4" borderId="4" xfId="0" applyNumberFormat="1" applyFont="1" applyFill="1" applyBorder="1" applyAlignment="1">
      <x:alignment horizontal="center" vertical="center"/>
    </x:xf>
    <x:xf numFmtId="0" fontId="18" fillId="8" borderId="3" xfId="0" applyNumberFormat="1" applyFont="1" applyFill="1" applyBorder="1" applyAlignment="1">
      <x:alignment horizontal="center" vertical="center"/>
    </x:xf>
    <x:xf numFmtId="0" fontId="18" fillId="8" borderId="4" xfId="0" applyNumberFormat="1" applyFont="1" applyFill="1" applyBorder="1" applyAlignment="1">
      <x:alignment horizontal="center" vertical="center"/>
    </x:xf>
    <x:xf numFmtId="0" fontId="15" fillId="6" borderId="5" xfId="0" applyNumberFormat="1" applyFont="1" applyFill="1" applyBorder="1" applyAlignment="1">
      <x:alignment horizontal="center" vertical="center"/>
    </x:xf>
    <x:xf numFmtId="0" fontId="15" fillId="6" borderId="6" xfId="0" applyNumberFormat="1" applyFont="1" applyFill="1" applyBorder="1" applyAlignment="1">
      <x:alignment horizontal="center" vertical="center"/>
    </x:xf>
    <x:xf numFmtId="0" fontId="16" fillId="7" borderId="5" xfId="0" applyNumberFormat="1" applyFont="1" applyFill="1" applyBorder="1" applyAlignment="1">
      <x:alignment horizontal="center" vertical="center"/>
    </x:xf>
    <x:xf numFmtId="0" fontId="16" fillId="7" borderId="6" xfId="0" applyNumberFormat="1" applyFont="1" applyFill="1" applyBorder="1" applyAlignment="1">
      <x:alignment horizontal="center" vertical="center"/>
    </x:xf>
    <x:xf numFmtId="0" fontId="17" fillId="4" borderId="5" xfId="0" applyNumberFormat="1" applyFont="1" applyFill="1" applyBorder="1" applyAlignment="1">
      <x:alignment horizontal="center" vertical="center"/>
    </x:xf>
    <x:xf numFmtId="0" fontId="17" fillId="4" borderId="6" xfId="0" applyNumberFormat="1" applyFont="1" applyFill="1" applyBorder="1" applyAlignment="1">
      <x:alignment horizontal="center" vertical="center"/>
    </x:xf>
    <x:xf numFmtId="0" fontId="18" fillId="8" borderId="5" xfId="0" applyNumberFormat="1" applyFont="1" applyFill="1" applyBorder="1" applyAlignment="1">
      <x:alignment horizontal="center" vertical="center"/>
    </x:xf>
    <x:xf numFmtId="0" fontId="18" fillId="8" borderId="6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/>
    <x:xf numFmtId="0" fontId="19" fillId="3" borderId="7" xfId="0" applyNumberFormat="1" applyFont="1" applyFill="1" applyBorder="1"/>
    <x:xf numFmtId="0" fontId="11" fillId="10" borderId="7" xfId="0" applyNumberFormat="1" applyFont="1" applyFill="1" applyBorder="1"/>
    <x:xf numFmtId="0" fontId="19" fillId="10" borderId="7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 wrapText="1"/>
    </x:xf>
    <x:xf numFmtId="0" fontId="11" fillId="0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horizontal="center" vertical="center" wrapText="1"/>
    </x:xf>
    <x:xf numFmtId="0" fontId="15" fillId="6" borderId="1" xfId="0" applyNumberFormat="1" applyFont="1" applyFill="1" applyBorder="1" applyAlignment="1">
      <x:alignment horizontal="center" vertical="center" wrapText="1"/>
    </x:xf>
    <x:xf numFmtId="0" fontId="15" fillId="6" borderId="2" xfId="0" applyNumberFormat="1" applyFont="1" applyFill="1" applyBorder="1" applyAlignment="1">
      <x:alignment horizontal="center" vertical="center" wrapText="1"/>
    </x:xf>
    <x:xf numFmtId="0" fontId="16" fillId="7" borderId="1" xfId="0" applyNumberFormat="1" applyFont="1" applyFill="1" applyBorder="1" applyAlignment="1">
      <x:alignment horizontal="center" vertical="center" wrapText="1"/>
    </x:xf>
    <x:xf numFmtId="0" fontId="16" fillId="7" borderId="2" xfId="0" applyNumberFormat="1" applyFont="1" applyFill="1" applyBorder="1" applyAlignment="1">
      <x:alignment horizontal="center" vertical="center" wrapText="1"/>
    </x:xf>
    <x:xf numFmtId="0" fontId="17" fillId="4" borderId="1" xfId="0" applyNumberFormat="1" applyFont="1" applyFill="1" applyBorder="1" applyAlignment="1">
      <x:alignment horizontal="center" vertical="center"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8" fillId="8" borderId="1" xfId="0" applyNumberFormat="1" applyFont="1" applyFill="1" applyBorder="1" applyAlignment="1">
      <x:alignment horizontal="center" vertical="center" wrapText="1"/>
    </x:xf>
    <x:xf numFmtId="0" fontId="18" fillId="8" borderId="2" xfId="0" applyNumberFormat="1" applyFont="1" applyFill="1" applyBorder="1" applyAlignment="1">
      <x:alignment horizontal="center" vertical="center" wrapText="1"/>
    </x:xf>
    <x:xf numFmtId="0" fontId="15" fillId="6" borderId="3" xfId="0" applyNumberFormat="1" applyFont="1" applyFill="1" applyBorder="1" applyAlignment="1">
      <x:alignment horizontal="center" vertical="center" wrapText="1"/>
    </x:xf>
    <x:xf numFmtId="0" fontId="15" fillId="6" borderId="4" xfId="0" applyNumberFormat="1" applyFont="1" applyFill="1" applyBorder="1" applyAlignment="1">
      <x:alignment horizontal="center" vertical="center" wrapText="1"/>
    </x:xf>
    <x:xf numFmtId="0" fontId="16" fillId="7" borderId="3" xfId="0" applyNumberFormat="1" applyFont="1" applyFill="1" applyBorder="1" applyAlignment="1">
      <x:alignment horizontal="center" vertical="center" wrapText="1"/>
    </x:xf>
    <x:xf numFmtId="0" fontId="16" fillId="7" borderId="4" xfId="0" applyNumberFormat="1" applyFont="1" applyFill="1" applyBorder="1" applyAlignment="1">
      <x:alignment horizontal="center" vertical="center" wrapText="1"/>
    </x:xf>
    <x:xf numFmtId="0" fontId="17" fillId="4" borderId="3" xfId="0" applyNumberFormat="1" applyFont="1" applyFill="1" applyBorder="1" applyAlignment="1">
      <x:alignment horizontal="center" vertical="center" wrapText="1"/>
    </x:xf>
    <x:xf numFmtId="0" fontId="17" fillId="4" borderId="4" xfId="0" applyNumberFormat="1" applyFont="1" applyFill="1" applyBorder="1" applyAlignment="1">
      <x:alignment horizontal="center" vertical="center" wrapText="1"/>
    </x:xf>
    <x:xf numFmtId="0" fontId="18" fillId="8" borderId="3" xfId="0" applyNumberFormat="1" applyFont="1" applyFill="1" applyBorder="1" applyAlignment="1">
      <x:alignment horizontal="center" vertical="center" wrapText="1"/>
    </x:xf>
    <x:xf numFmtId="0" fontId="18" fillId="8" borderId="4" xfId="0" applyNumberFormat="1" applyFont="1" applyFill="1" applyBorder="1" applyAlignment="1">
      <x:alignment horizontal="center" vertical="center" wrapText="1"/>
    </x:xf>
    <x:xf numFmtId="0" fontId="15" fillId="6" borderId="5" xfId="0" applyNumberFormat="1" applyFont="1" applyFill="1" applyBorder="1" applyAlignment="1">
      <x:alignment horizontal="center" vertical="center" wrapText="1"/>
    </x:xf>
    <x:xf numFmtId="0" fontId="15" fillId="6" borderId="6" xfId="0" applyNumberFormat="1" applyFont="1" applyFill="1" applyBorder="1" applyAlignment="1">
      <x:alignment horizontal="center" vertical="center" wrapText="1"/>
    </x:xf>
    <x:xf numFmtId="0" fontId="16" fillId="7" borderId="5" xfId="0" applyNumberFormat="1" applyFont="1" applyFill="1" applyBorder="1" applyAlignment="1">
      <x:alignment horizontal="center" vertical="center" wrapText="1"/>
    </x:xf>
    <x:xf numFmtId="0" fontId="16" fillId="7" borderId="6" xfId="0" applyNumberFormat="1" applyFont="1" applyFill="1" applyBorder="1" applyAlignment="1">
      <x:alignment horizontal="center" vertical="center" wrapText="1"/>
    </x:xf>
    <x:xf numFmtId="0" fontId="17" fillId="4" borderId="5" xfId="0" applyNumberFormat="1" applyFont="1" applyFill="1" applyBorder="1" applyAlignment="1">
      <x:alignment horizontal="center" vertical="center" wrapText="1"/>
    </x:xf>
    <x:xf numFmtId="0" fontId="17" fillId="4" borderId="6" xfId="0" applyNumberFormat="1" applyFont="1" applyFill="1" applyBorder="1" applyAlignment="1">
      <x:alignment horizontal="center" vertical="center" wrapText="1"/>
    </x:xf>
    <x:xf numFmtId="0" fontId="18" fillId="8" borderId="5" xfId="0" applyNumberFormat="1" applyFont="1" applyFill="1" applyBorder="1" applyAlignment="1">
      <x:alignment horizontal="center" vertical="center" wrapText="1"/>
    </x:xf>
    <x:xf numFmtId="0" fontId="18" fillId="8" borderId="6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wrapText="1"/>
    </x:xf>
    <x:xf numFmtId="0" fontId="19" fillId="3" borderId="7" xfId="0" applyNumberFormat="1" applyFont="1" applyFill="1" applyBorder="1" applyAlignment="1">
      <x:alignment wrapText="1"/>
    </x:xf>
    <x:xf numFmtId="0" fontId="11" fillId="10" borderId="7" xfId="0" applyNumberFormat="1" applyFont="1" applyFill="1" applyBorder="1" applyAlignment="1">
      <x:alignment wrapText="1"/>
    </x:xf>
    <x:xf numFmtId="0" fontId="19" fillId="10" borderId="7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13" fillId="4" borderId="0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top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horizontal="center" vertical="top" wrapText="1"/>
    </x:xf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9" fillId="4" borderId="8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8" borderId="10" xfId="0" applyNumberFormat="1" applyFont="1" applyFill="1" applyBorder="1" applyAlignment="1">
      <x:alignment vertical="center" wrapText="1"/>
    </x:xf>
    <x:xf numFmtId="0" fontId="9" fillId="8" borderId="8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8" xfId="0" applyNumberFormat="1" applyFont="1" applyFill="1" applyBorder="1" applyAlignment="1">
      <x:alignment vertical="center"/>
    </x:xf>
    <x:xf numFmtId="0" fontId="9" fillId="3" borderId="9" xfId="0" applyNumberFormat="1" applyFont="1" applyFill="1" applyBorder="1" applyAlignment="1">
      <x:alignment vertical="center"/>
    </x:xf>
    <x:xf numFmtId="0" fontId="0" fillId="9" borderId="9" xfId="0" applyNumberFormat="1" applyFont="1" applyFill="1" applyBorder="1" applyAlignment="1">
      <x:alignment vertical="center" wrapText="1"/>
    </x:xf>
    <x:xf numFmtId="0" fontId="0" fillId="9" borderId="10" xfId="0" applyNumberFormat="1" applyFont="1" applyFill="1" applyBorder="1" applyAlignment="1">
      <x:alignment vertical="center" wrapText="1"/>
    </x:xf>
    <x:xf numFmtId="0" fontId="20" fillId="6" borderId="0" xfId="0" applyNumberFormat="1" applyFont="1" applyFill="1" applyBorder="1"/>
    <x:xf numFmtId="0" fontId="20" fillId="6" borderId="0" xfId="0" applyNumberFormat="1" applyFont="1" applyFill="1" applyBorder="1" applyAlignment="1">
      <x:alignment wrapText="1"/>
    </x:xf>
    <x:xf numFmtId="0" fontId="14" fillId="5" borderId="0" xfId="0" applyNumberFormat="1" applyFont="1" applyFill="1" applyBorder="1"/>
    <x:xf numFmtId="0" fontId="19" fillId="7" borderId="8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11" fillId="7" borderId="10" xfId="0" applyNumberFormat="1" applyFont="1" applyFill="1" applyBorder="1" applyAlignment="1">
      <x:alignment vertical="center" wrapText="1"/>
    </x:xf>
    <x:xf numFmtId="0" fontId="19" fillId="4" borderId="8" xfId="0" applyNumberFormat="1" applyFont="1" applyFill="1" applyBorder="1" applyAlignment="1">
      <x:alignment vertical="center" wrapText="1"/>
    </x:xf>
    <x:xf numFmtId="0" fontId="11" fillId="4" borderId="9" xfId="0" applyNumberFormat="1" applyFont="1" applyFill="1" applyBorder="1" applyAlignment="1">
      <x:alignment vertical="center" wrapText="1"/>
    </x:xf>
    <x:xf numFmtId="0" fontId="11" fillId="4" borderId="10" xfId="0" applyNumberFormat="1" applyFont="1" applyFill="1" applyBorder="1" applyAlignment="1">
      <x:alignment vertical="center" wrapText="1"/>
    </x:xf>
    <x:xf numFmtId="0" fontId="19" fillId="8" borderId="8" xfId="0" applyNumberFormat="1" applyFont="1" applyFill="1" applyBorder="1" applyAlignment="1">
      <x:alignment vertical="center" wrapText="1"/>
    </x:xf>
    <x:xf numFmtId="0" fontId="11" fillId="8" borderId="9" xfId="0" applyNumberFormat="1" applyFont="1" applyFill="1" applyBorder="1" applyAlignment="1">
      <x:alignment vertical="center" wrapText="1"/>
    </x:xf>
    <x:xf numFmtId="0" fontId="11" fillId="8" borderId="10" xfId="0" applyNumberFormat="1" applyFont="1" applyFill="1" applyBorder="1" applyAlignment="1">
      <x:alignment vertical="center" wrapText="1"/>
    </x:xf>
    <x:xf numFmtId="0" fontId="19" fillId="3" borderId="8" xfId="0" applyNumberFormat="1" applyFont="1" applyFill="1" applyBorder="1" applyAlignment="1">
      <x:alignment vertical="center"/>
    </x:xf>
    <x:xf numFmtId="0" fontId="19" fillId="3" borderId="9" xfId="0" applyNumberFormat="1" applyFont="1" applyFill="1" applyBorder="1" applyAlignment="1">
      <x:alignment vertical="center"/>
    </x:xf>
    <x:xf numFmtId="0" fontId="11" fillId="9" borderId="9" xfId="0" applyNumberFormat="1" applyFont="1" applyFill="1" applyBorder="1" applyAlignment="1">
      <x:alignment vertical="center" wrapText="1"/>
    </x:xf>
    <x:xf numFmtId="0" fontId="11" fillId="9" borderId="10" xfId="0" applyNumberFormat="1" applyFont="1" applyFill="1" applyBorder="1" applyAlignment="1">
      <x:alignment vertical="center" wrapText="1"/>
    </x:xf>
    <x:xf numFmtId="0" fontId="21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1c16685634968" /><Relationship Type="http://schemas.openxmlformats.org/officeDocument/2006/relationships/theme" Target="/xl/theme/theme1.xml" Id="Rae3247151d7c415a" /><Relationship Type="http://schemas.openxmlformats.org/officeDocument/2006/relationships/sharedStrings" Target="/xl/sharedStrings.xml" Id="Rbbc086a6e1284b36" /><Relationship Type="http://schemas.openxmlformats.org/officeDocument/2006/relationships/worksheet" Target="/xl/worksheets/sheet1.xml" Id="R40f127e3f6d74839" /><Relationship Type="http://schemas.openxmlformats.org/officeDocument/2006/relationships/worksheet" Target="/xl/worksheets/sheet2.xml" Id="Ra8ff254c1bb04baf" /><Relationship Type="http://schemas.openxmlformats.org/officeDocument/2006/relationships/worksheet" Target="/xl/worksheets/sheet3.xml" Id="R46a989afa7d246b2" /></Relationships>
</file>

<file path=xl/tables/table1.xml><?xml version="1.0" encoding="utf-8"?>
<x:table xmlns:x="http://schemas.openxmlformats.org/spreadsheetml/2006/main" id="1" name="DirectMappingTable" displayName="DirectMappingTable" ref="A4:L48" headerRowCount="1" totalsRowCount="0" totalsRowShown="0">
  <x:autoFilter ref="A4:L48"/>
  <x:tableColumns count="12">
    <x:tableColumn id="1" name="序号"/>
    <x:tableColumn id="2" name="来源行"/>
    <x:tableColumn id="3" name="客户编码"/>
    <x:tableColumn id="4" name="客户原始定义"/>
    <x:tableColumn id="5" name="意图解读"/>
    <x:tableColumn id="6" name="建议安全实现"/>
    <x:tableColumn id="7" name="初步分类"/>
    <x:tableColumn id="8" name="主要依据/限制"/>
    <x:tableColumn id="9" name="客户确认"/>
    <x:tableColumn id="10" name="客户补充说明"/>
    <x:tableColumn id="11" name="项目最终结论"/>
    <x:tableColumn id="12" name="计划版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147466766a46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144" t="str">
        <x:v>0.5.0 客户 44 条“直通”需求确认表</x:v>
      </x:c>
      <x:c r="B1" s="145"/>
      <x:c r="C1" s="145"/>
      <x:c r="D1" s="145"/>
      <x:c r="E1" s="145"/>
      <x:c r="F1" s="145"/>
      <x:c r="G1" s="145"/>
      <x:c r="H1" s="145"/>
    </x:row>
    <x:row r="2">
      <x:c r="A2" s="146" t="str">
        <x:v>版本：客户确认稿 v1｜来源：5.直通.txt｜生成日期：2026-08-25</x:v>
      </x:c>
      <x:c r="B2" s="145"/>
      <x:c r="C2" s="145"/>
      <x:c r="D2" s="145"/>
      <x:c r="E2" s="145"/>
      <x:c r="F2" s="145"/>
      <x:c r="G2" s="145"/>
      <x:c r="H2" s="145"/>
    </x:row>
    <x:row r="3">
      <x:c r="A3" s="145"/>
      <x:c r="B3" s="145"/>
      <x:c r="C3" s="145"/>
      <x:c r="D3" s="145"/>
      <x:c r="E3" s="145"/>
      <x:c r="F3" s="145"/>
      <x:c r="G3" s="145"/>
      <x:c r="H3" s="145"/>
    </x:row>
    <x:row r="4" ht="48" customHeight="1">
      <x:c r="A4" s="111" t="str">
        <x:v>重要：表内 $cmd、URL 和路径均仅作为客户需求文本展示，不会被本项目解析或执行。只有客户确认且项目再次审批后的固定白名单动作才会进入实现。</x:v>
      </x:c>
      <x:c r="B4" s="145"/>
      <x:c r="C4" s="145"/>
      <x:c r="D4" s="145"/>
      <x:c r="E4" s="145"/>
      <x:c r="F4" s="145"/>
      <x:c r="G4" s="145"/>
      <x:c r="H4" s="145"/>
    </x:row>
    <x:row r="5">
      <x:c r="A5" s="145"/>
      <x:c r="B5" s="145"/>
      <x:c r="C5" s="145"/>
      <x:c r="D5" s="145"/>
      <x:c r="E5" s="145"/>
      <x:c r="F5" s="145"/>
      <x:c r="G5" s="145"/>
      <x:c r="H5" s="145"/>
    </x:row>
    <x:row r="6">
      <x:c r="A6" s="147" t="str">
        <x:v>记录总数</x:v>
      </x:c>
      <x:c r="B6" s="147" t="str"/>
      <x:c r="C6" s="147" t="str">
        <x:v>可直接实现</x:v>
      </x:c>
      <x:c r="D6" s="147" t="str"/>
      <x:c r="E6" s="147" t="str">
        <x:v>需要客户确认</x:v>
      </x:c>
      <x:c r="F6" s="147" t="str"/>
      <x:c r="G6" s="147" t="str">
        <x:v>平台不支持/安全拒绝</x:v>
      </x:c>
      <x:c r="H6" s="147" t="str"/>
    </x:row>
    <x:row r="7">
      <x:c r="A7" s="148" t="n">
        <x:f>COUNTA('44条逐项映射'!$A$5:$A$48)</x:f>
        <x:v>44</x:v>
      </x:c>
      <x:c r="B7" s="149"/>
      <x:c r="C7" s="150" t="n">
        <x:f>COUNTIF('44条逐项映射'!$G$5:$G$48,"可直接实现")</x:f>
        <x:v>16</x:v>
      </x:c>
      <x:c r="D7" s="151"/>
      <x:c r="E7" s="152" t="n">
        <x:f>COUNTIF('44条逐项映射'!$G$5:$G$48,"需要客户确认")</x:f>
        <x:v>22</x:v>
      </x:c>
      <x:c r="F7" s="153"/>
      <x:c r="G7" s="154" t="n">
        <x:f>COUNTIF('44条逐项映射'!$G$5:$G$48,"平台不支持/安全拒绝")</x:f>
        <x:v>6</x:v>
      </x:c>
      <x:c r="H7" s="155"/>
    </x:row>
    <x:row r="8">
      <x:c r="A8" s="156"/>
      <x:c r="B8" s="157"/>
      <x:c r="C8" s="158"/>
      <x:c r="D8" s="159"/>
      <x:c r="E8" s="160"/>
      <x:c r="F8" s="161"/>
      <x:c r="G8" s="162"/>
      <x:c r="H8" s="163"/>
    </x:row>
    <x:row r="9">
      <x:c r="A9" s="164"/>
      <x:c r="B9" s="165"/>
      <x:c r="C9" s="166"/>
      <x:c r="D9" s="167"/>
      <x:c r="E9" s="168"/>
      <x:c r="F9" s="169"/>
      <x:c r="G9" s="170"/>
      <x:c r="H9" s="171"/>
    </x:row>
    <x:row r="10">
      <x:c r="A10" s="145"/>
      <x:c r="B10" s="145"/>
      <x:c r="C10" s="145"/>
      <x:c r="D10" s="145"/>
      <x:c r="E10" s="145"/>
      <x:c r="F10" s="145"/>
      <x:c r="G10" s="145"/>
      <x:c r="H10" s="145"/>
    </x:row>
    <x:row r="11">
      <x:c r="A11" s="172" t="str">
        <x:v>客户填写说明</x:v>
      </x:c>
      <x:c r="B11" s="145"/>
      <x:c r="C11" s="145"/>
      <x:c r="D11" s="145"/>
      <x:c r="E11" s="145"/>
      <x:c r="F11" s="145"/>
      <x:c r="G11" s="145"/>
      <x:c r="H11" s="145"/>
    </x:row>
    <x:row r="12" ht="32" customHeight="1">
      <x:c r="A12" s="138" t="str">
        <x:v>1. 请在“44条逐项映射”I 列逐项选择：同意建议实现 / 按原需求实现（请说明） / 不需要 / 待讨论。</x:v>
      </x:c>
      <x:c r="B12" s="145"/>
      <x:c r="C12" s="145"/>
      <x:c r="D12" s="145"/>
      <x:c r="E12" s="145"/>
      <x:c r="F12" s="145"/>
      <x:c r="G12" s="145"/>
      <x:c r="H12" s="145"/>
    </x:row>
    <x:row r="13" ht="32" customHeight="1">
      <x:c r="A13" s="139" t="str">
        <x:v>2. 若选择“按原需求实现”，请在 J 列补充期望、示例和边界；涉及 URL 的项目请确认域名、数据范围和是否允许跳出当前应用。</x:v>
      </x:c>
      <x:c r="B13" s="145"/>
      <x:c r="C13" s="145"/>
      <x:c r="D13" s="145"/>
      <x:c r="E13" s="145"/>
      <x:c r="F13" s="145"/>
      <x:c r="G13" s="145"/>
      <x:c r="H13" s="145"/>
    </x:row>
    <x:row r="14" ht="32" customHeight="1">
      <x:c r="A14" s="138" t="str">
        <x:v>3. “可直接实现”表示技术与安全路径明确，不等于已经交付；以 K 列“项目最终结论”和后续验收报告为准。</x:v>
      </x:c>
      <x:c r="B14" s="145"/>
      <x:c r="C14" s="145"/>
      <x:c r="D14" s="145"/>
      <x:c r="E14" s="145"/>
      <x:c r="F14" s="145"/>
      <x:c r="G14" s="145"/>
      <x:c r="H14" s="145"/>
    </x:row>
    <x:row r="15" ht="32" customHeight="1">
      <x:c r="A15" s="139" t="str">
        <x:v>4. “平台不支持/安全拒绝”表示原行为不能原样实现；客户可确认表内安全替代方案。</x:v>
      </x:c>
      <x:c r="B15" s="145"/>
      <x:c r="C15" s="145"/>
      <x:c r="D15" s="145"/>
      <x:c r="E15" s="145"/>
      <x:c r="F15" s="145"/>
      <x:c r="G15" s="145"/>
      <x:c r="H15" s="145"/>
    </x:row>
    <x:row r="16">
      <x:c r="A16" s="145"/>
      <x:c r="B16" s="145"/>
      <x:c r="C16" s="145"/>
      <x:c r="D16" s="145"/>
      <x:c r="E16" s="145"/>
      <x:c r="F16" s="145"/>
      <x:c r="G16" s="145"/>
      <x:c r="H16" s="145"/>
    </x:row>
    <x:row r="17">
      <x:c r="A17" s="145"/>
      <x:c r="B17" s="145"/>
      <x:c r="C17" s="145"/>
      <x:c r="D17" s="145"/>
      <x:c r="E17" s="145"/>
      <x:c r="F17" s="145"/>
      <x:c r="G17" s="145"/>
      <x:c r="H17" s="145"/>
    </x:row>
    <x:row r="18">
      <x:c r="A18" s="173" t="str">
        <x:v>客户确认信息</x:v>
      </x:c>
      <x:c r="B18" s="145"/>
      <x:c r="C18" s="145"/>
      <x:c r="D18" s="145"/>
      <x:c r="E18" s="145"/>
      <x:c r="F18" s="145"/>
      <x:c r="G18" s="145"/>
      <x:c r="H18" s="145"/>
    </x:row>
    <x:row r="19">
      <x:c r="A19" s="174" t="str">
        <x:v>客户单位</x:v>
      </x:c>
      <x:c r="B19" s="175" t="str"/>
      <x:c r="C19" s="176" t="str">
        <x:v>确认人</x:v>
      </x:c>
      <x:c r="D19" s="175" t="str"/>
      <x:c r="E19" s="176" t="str">
        <x:v>确认日期</x:v>
      </x:c>
      <x:c r="F19" s="175" t="str"/>
      <x:c r="G19" s="176" t="str">
        <x:v>适用版本</x:v>
      </x:c>
      <x:c r="H19" s="175" t="str">
        <x:v>0.5.x</x:v>
      </x:c>
    </x:row>
    <x:row r="20">
      <x:c r="A20" s="174" t="str">
        <x:v>总体结论</x:v>
      </x:c>
      <x:c r="B20" s="175" t="str"/>
      <x:c r="C20" s="175" t="str"/>
      <x:c r="D20" s="175" t="str"/>
      <x:c r="E20" s="175" t="str"/>
      <x:c r="F20" s="175" t="str"/>
      <x:c r="G20" s="175" t="str"/>
      <x:c r="H20" s="175" t="str"/>
    </x:row>
    <x:row r="21">
      <x:c r="A21" s="174" t="str">
        <x:v>补充说明</x:v>
      </x:c>
      <x:c r="B21" s="175" t="str"/>
      <x:c r="C21" s="175" t="str"/>
      <x:c r="D21" s="175" t="str"/>
      <x:c r="E21" s="175" t="str"/>
      <x:c r="F21" s="175" t="str"/>
      <x:c r="G21" s="175" t="str"/>
      <x:c r="H21" s="175" t="str"/>
    </x:row>
    <x:row r="22">
      <x:c r="A22" s="174" t="str">
        <x:v>签字/盖章</x:v>
      </x:c>
      <x:c r="B22" s="175" t="str"/>
      <x:c r="C22" s="175" t="str"/>
      <x:c r="D22" s="175" t="str"/>
      <x:c r="E22" s="175" t="str"/>
      <x:c r="F22" s="175" t="str"/>
      <x:c r="G22" s="175" t="str"/>
      <x:c r="H22" s="175" t="str"/>
    </x:row>
  </x:sheetData>
  <x:mergeCells>
    <x:mergeCell ref="A1:H1"/>
    <x:mergeCell ref="A2:H2"/>
    <x:mergeCell ref="A4:H4"/>
    <x:mergeCell ref="A6:B6"/>
    <x:mergeCell ref="C6:D6"/>
    <x:mergeCell ref="E6:F6"/>
    <x:mergeCell ref="G6:H6"/>
    <x:mergeCell ref="A7:B9"/>
    <x:mergeCell ref="C7:D9"/>
    <x:mergeCell ref="E7:F9"/>
    <x:mergeCell ref="G7:H9"/>
    <x:mergeCell ref="A11:H11"/>
    <x:mergeCell ref="A12:H12"/>
    <x:mergeCell ref="A13:H13"/>
    <x:mergeCell ref="A14:H14"/>
    <x:mergeCell ref="A15:H15"/>
    <x:mergeCell ref="A18:H18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8" hidden="0" customWidth="1"/>
    <x:col min="3" max="3" width="13" hidden="0" customWidth="1"/>
    <x:col min="4" max="4" width="46" hidden="0" customWidth="1"/>
    <x:col min="5" max="5" width="28" hidden="0" customWidth="1"/>
    <x:col min="6" max="6" width="42" hidden="0" customWidth="1"/>
    <x:col min="7" max="7" width="22" hidden="0" customWidth="1"/>
    <x:col min="8" max="8" width="44" hidden="0" customWidth="1"/>
    <x:col min="9" max="9" width="25" hidden="0" customWidth="1"/>
    <x:col min="10" max="10" width="36" hidden="0" customWidth="1"/>
    <x:col min="11" max="11" width="18" hidden="0" customWidth="1"/>
    <x:col min="12" max="12" width="14" hidden="0" customWidth="1"/>
  </x:cols>
  <x:sheetData>
    <x:row r="1" ht="34" customHeight="1">
      <x:c r="A1" s="108" t="str">
        <x:v>44 条直通需求逐项映射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  <x:c r="L1" s="109"/>
    </x:row>
    <x:row r="2" ht="28" customHeight="1">
      <x:c r="A2" s="190" t="str">
        <x:v>I、J 列由客户填写；K、L 列由项目组在审批后填写。原始定义仅展示，不执行。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</x:row>
    <x:row r="4" ht="36" customHeight="1">
      <x:c r="A4" s="191" t="str">
        <x:v>序号</x:v>
      </x:c>
      <x:c r="B4" s="191" t="str">
        <x:v>来源行</x:v>
      </x:c>
      <x:c r="C4" s="191" t="str">
        <x:v>客户编码</x:v>
      </x:c>
      <x:c r="D4" s="191" t="str">
        <x:v>客户原始定义</x:v>
      </x:c>
      <x:c r="E4" s="191" t="str">
        <x:v>意图解读</x:v>
      </x:c>
      <x:c r="F4" s="191" t="str">
        <x:v>建议安全实现</x:v>
      </x:c>
      <x:c r="G4" s="191" t="str">
        <x:v>初步分类</x:v>
      </x:c>
      <x:c r="H4" s="191" t="str">
        <x:v>主要依据/限制</x:v>
      </x:c>
      <x:c r="I4" s="191" t="str">
        <x:v>客户确认</x:v>
      </x:c>
      <x:c r="J4" s="191" t="str">
        <x:v>客户补充说明</x:v>
      </x:c>
      <x:c r="K4" s="191" t="str">
        <x:v>项目最终结论</x:v>
      </x:c>
      <x:c r="L4" s="191" t="str">
        <x:v>计划版本</x:v>
      </x:c>
    </x:row>
    <x:row r="5" ht="58" customHeight="1">
      <x:c r="A5" s="192" t="n">
        <x:v>1</x:v>
      </x:c>
      <x:c r="B5" s="192" t="n">
        <x:v>2</x:v>
      </x:c>
      <x:c r="C5" s="192" t="str">
        <x:v>ofi</x:v>
      </x:c>
      <x:c r="D5" s="193" t="str">
        <x:v>$cmd(querycode,[复制反查])</x:v>
      </x:c>
      <x:c r="E5" s="193" t="str">
        <x:v>复制内容反查编码</x:v>
      </x:c>
      <x:c r="F5" s="193" t="str">
        <x:v>仅对用户明确粘贴或当前输入内容执行本地反查；不静默读取剪贴板。</x:v>
      </x:c>
      <x:c r="G5" s="194" t="str">
        <x:v>需要客户确认</x:v>
      </x:c>
      <x:c r="H5" s="194" t="str">
        <x:v>需确认反查对象、返回格式，以及是否接受取消自动读剪贴板。</x:v>
      </x:c>
      <x:c r="I5" s="195" t="str"/>
      <x:c r="J5" s="196" t="str"/>
      <x:c r="K5" s="197" t="str">
        <x:v>待项目审批</x:v>
      </x:c>
      <x:c r="L5" s="197" t="str">
        <x:v>待客户确认</x:v>
      </x:c>
    </x:row>
    <x:row r="6" ht="58" customHeight="1">
      <x:c r="A6" s="192" t="n">
        <x:v>2</x:v>
      </x:c>
      <x:c r="B6" s="192" t="n">
        <x:v>3</x:v>
      </x:c>
      <x:c r="C6" s="192" t="str">
        <x:v>orq</x:v>
      </x:c>
      <x:c r="D6" s="193" t="str">
        <x:v>$cmd({time}:yyyy年M月d日,{time}:yyyy年M月d日)</x:v>
      </x:c>
      <x:c r="E6" s="193" t="str">
        <x:v>插入本地日期（yyyy年M月d日）</x:v>
      </x:c>
      <x:c r="F6" s="193" t="str">
        <x:v>映射到受控 DATE_TIME_TEXT 白名单，每次触发只读取一次本机时间。</x:v>
      </x:c>
      <x:c r="G6" s="194" t="str">
        <x:v>可直接实现</x:v>
      </x:c>
      <x:c r="H6" s="194" t="str">
        <x:v>纯本地文本生成，无网络、文件或系统控制副作用。</x:v>
      </x:c>
      <x:c r="I6" s="195" t="str"/>
      <x:c r="J6" s="196" t="str"/>
      <x:c r="K6" s="197" t="str">
        <x:v>待项目审批</x:v>
      </x:c>
      <x:c r="L6" s="197" t="str">
        <x:v>审批后纳入</x:v>
      </x:c>
    </x:row>
    <x:row r="7" ht="58" customHeight="1">
      <x:c r="A7" s="192" t="n">
        <x:v>3</x:v>
      </x:c>
      <x:c r="B7" s="192" t="n">
        <x:v>4</x:v>
      </x:c>
      <x:c r="C7" s="192" t="str">
        <x:v>orq</x:v>
      </x:c>
      <x:c r="D7" s="193" t="str">
        <x:v>$cmd({time}:yyyy-MM-dd,{time}:yyyy-MM-dd)</x:v>
      </x:c>
      <x:c r="E7" s="193" t="str">
        <x:v>插入 ISO 日期（yyyy-MM-dd）</x:v>
      </x:c>
      <x:c r="F7" s="193" t="str">
        <x:v>映射到受控 DATE_TIME_TEXT/DATE_ISO。</x:v>
      </x:c>
      <x:c r="G7" s="194" t="str">
        <x:v>可直接实现</x:v>
      </x:c>
      <x:c r="H7" s="194" t="str">
        <x:v>现有日期白名单协议可承载。</x:v>
      </x:c>
      <x:c r="I7" s="195" t="str"/>
      <x:c r="J7" s="196" t="str"/>
      <x:c r="K7" s="197" t="str">
        <x:v>待项目审批</x:v>
      </x:c>
      <x:c r="L7" s="197" t="str">
        <x:v>审批后纳入</x:v>
      </x:c>
    </x:row>
    <x:row r="8" ht="58" customHeight="1">
      <x:c r="A8" s="192" t="n">
        <x:v>4</x:v>
      </x:c>
      <x:c r="B8" s="192" t="n">
        <x:v>5</x:v>
      </x:c>
      <x:c r="C8" s="192" t="str">
        <x:v>onl</x:v>
      </x:c>
      <x:c r="D8" s="193" t="str">
        <x:v>$cmd({cttg}:yMdHm,{cttg}:yMdHm)</x:v>
      </x:c>
      <x:c r="E8" s="193" t="str">
        <x:v>插入紧凑日期时间（cttg:yMdHm）</x:v>
      </x:c>
      <x:c r="F8" s="193" t="str">
        <x:v>新增固定格式 ID；输出示例需由客户冻结后再实现。</x:v>
      </x:c>
      <x:c r="G8" s="194" t="str">
        <x:v>需要客户确认</x:v>
      </x:c>
      <x:c r="H8" s="194" t="str">
        <x:v>cttg 占位符含义与补零规则不明确。</x:v>
      </x:c>
      <x:c r="I8" s="195" t="str"/>
      <x:c r="J8" s="196" t="str"/>
      <x:c r="K8" s="197" t="str">
        <x:v>待项目审批</x:v>
      </x:c>
      <x:c r="L8" s="197" t="str">
        <x:v>待客户确认</x:v>
      </x:c>
    </x:row>
    <x:row r="9" ht="58" customHeight="1">
      <x:c r="A9" s="192" t="n">
        <x:v>5</x:v>
      </x:c>
      <x:c r="B9" s="192" t="n">
        <x:v>6</x:v>
      </x:c>
      <x:c r="C9" s="192" t="str">
        <x:v>ouj</x:v>
      </x:c>
      <x:c r="D9" s="193" t="str">
        <x:v>$cmd({time}:HH:mm ddd,{time}:HH:mm ddd)</x:v>
      </x:c>
      <x:c r="E9" s="193" t="str">
        <x:v>插入时间和星期（HH:mm ddd）</x:v>
      </x:c>
      <x:c r="F9" s="193" t="str">
        <x:v>新增固定的“时:分 + 星期”本地格式 ID。</x:v>
      </x:c>
      <x:c r="G9" s="194" t="str">
        <x:v>可直接实现</x:v>
      </x:c>
      <x:c r="H9" s="194" t="str">
        <x:v>可安全实现，但需作为枚举白名单而非解释任意格式串。</x:v>
      </x:c>
      <x:c r="I9" s="195" t="str"/>
      <x:c r="J9" s="196" t="str"/>
      <x:c r="K9" s="197" t="str">
        <x:v>待项目审批</x:v>
      </x:c>
      <x:c r="L9" s="197" t="str">
        <x:v>审批后纳入</x:v>
      </x:c>
    </x:row>
    <x:row r="10" ht="58" customHeight="1">
      <x:c r="A10" s="192" t="n">
        <x:v>6</x:v>
      </x:c>
      <x:c r="B10" s="192" t="n">
        <x:v>7</x:v>
      </x:c>
      <x:c r="C10" s="192" t="str">
        <x:v>ouj</x:v>
      </x:c>
      <x:c r="D10" s="193" t="str">
        <x:v>$cmd({time}:H点m分,{time}:H点m分)</x:v>
      </x:c>
      <x:c r="E10" s="193" t="str">
        <x:v>插入中文时间（H点m分）</x:v>
      </x:c>
      <x:c r="F10" s="193" t="str">
        <x:v>新增固定中文时间格式 ID。</x:v>
      </x:c>
      <x:c r="G10" s="194" t="str">
        <x:v>可直接实现</x:v>
      </x:c>
      <x:c r="H10" s="194" t="str">
        <x:v>纯本地文本生成，可纳入时间白名单。</x:v>
      </x:c>
      <x:c r="I10" s="195" t="str"/>
      <x:c r="J10" s="196" t="str"/>
      <x:c r="K10" s="197" t="str">
        <x:v>待项目审批</x:v>
      </x:c>
      <x:c r="L10" s="197" t="str">
        <x:v>审批后纳入</x:v>
      </x:c>
    </x:row>
    <x:row r="11" ht="58" customHeight="1">
      <x:c r="A11" s="192" t="n">
        <x:v>7</x:v>
      </x:c>
      <x:c r="B11" s="192" t="n">
        <x:v>9</x:v>
      </x:c>
      <x:c r="C11" s="192" t="str">
        <x:v>xhgw</x:v>
      </x:c>
      <x:c r="D11" s="193" t="str">
        <x:v>$cmd(run(https://flypy.cc),「小鹤官网」)</x:v>
      </x:c>
      <x:c r="E11" s="193" t="str">
        <x:v>打开小鹤官网</x:v>
      </x:c>
      <x:c r="F11" s="193" t="str">
        <x:v>在用户选中候选后，仅打开批准的固定 HTTPS 白名单地址。</x:v>
      </x:c>
      <x:c r="G11" s="194" t="str">
        <x:v>需要客户确认</x:v>
      </x:c>
      <x:c r="H11" s="194" t="str">
        <x:v>需客户确认会离开当前应用，并确认域名白名单与失败提示。</x:v>
      </x:c>
      <x:c r="I11" s="195" t="str"/>
      <x:c r="J11" s="196" t="str"/>
      <x:c r="K11" s="197" t="str">
        <x:v>待项目审批</x:v>
      </x:c>
      <x:c r="L11" s="197" t="str">
        <x:v>待客户确认</x:v>
      </x:c>
    </x:row>
    <x:row r="12" ht="58" customHeight="1">
      <x:c r="A12" s="192" t="n">
        <x:v>8</x:v>
      </x:c>
      <x:c r="B12" s="192" t="n">
        <x:v>10</x:v>
      </x:c>
      <x:c r="C12" s="192" t="str">
        <x:v>xhg</x:v>
      </x:c>
      <x:c r="D12" s="193" t="str">
        <x:v>https://flypy.cc</x:v>
      </x:c>
      <x:c r="E12" s="193" t="str">
        <x:v>插入小鹤官网 URL 文本</x:v>
      </x:c>
      <x:c r="F12" s="193" t="str">
        <x:v>按普通静态文本上屏；若客户要打开网页，改走固定 HTTPS 白名单动作。</x:v>
      </x:c>
      <x:c r="G12" s="194" t="str">
        <x:v>可直接实现</x:v>
      </x:c>
      <x:c r="H12" s="194" t="str">
        <x:v>原记录不是 run()，按静态文本处理最安全且语义稳定。</x:v>
      </x:c>
      <x:c r="I12" s="195" t="str"/>
      <x:c r="J12" s="196" t="str"/>
      <x:c r="K12" s="197" t="str">
        <x:v>待项目审批</x:v>
      </x:c>
      <x:c r="L12" s="197" t="str">
        <x:v>审批后纳入</x:v>
      </x:c>
    </x:row>
    <x:row r="13" ht="58" customHeight="1">
      <x:c r="A13" s="192" t="n">
        <x:v>9</x:v>
      </x:c>
      <x:c r="B13" s="192" t="n">
        <x:v>11</x:v>
      </x:c>
      <x:c r="C13" s="192" t="str">
        <x:v>xhwp</x:v>
      </x:c>
      <x:c r="D13" s="193" t="str">
        <x:v>$cmd(run(http://flypy.ysepan.com),「小鹤网盘」)</x:v>
      </x:c>
      <x:c r="E13" s="193" t="str">
        <x:v>打开小鹤网盘（HTTP）</x:v>
      </x:c>
      <x:c r="F13" s="193" t="str">
        <x:v>拒绝原 HTTP 地址；客户提供并确认 HTTPS 官方地址后，可作为固定白名单动作。</x:v>
      </x:c>
      <x:c r="G13" s="194" t="str">
        <x:v>平台不支持/安全拒绝</x:v>
      </x:c>
      <x:c r="H13" s="194" t="str">
        <x:v>明文 HTTP 不满足安全基线，且不能自动升级到未知 HTTPS 地址。</x:v>
      </x:c>
      <x:c r="I13" s="195" t="str"/>
      <x:c r="J13" s="196" t="str"/>
      <x:c r="K13" s="197" t="str">
        <x:v>待项目审批</x:v>
      </x:c>
      <x:c r="L13" s="197" t="str">
        <x:v>拒绝原样实现</x:v>
      </x:c>
    </x:row>
    <x:row r="14" ht="58" customHeight="1">
      <x:c r="A14" s="192" t="n">
        <x:v>10</x:v>
      </x:c>
      <x:c r="B14" s="192" t="n">
        <x:v>12</x:v>
      </x:c>
      <x:c r="C14" s="192" t="str">
        <x:v>xhrm</x:v>
      </x:c>
      <x:c r="D14" s="193" t="str">
        <x:v>$cmd(run(https://flypy.cc/help),「入门」)</x:v>
      </x:c>
      <x:c r="E14" s="193" t="str">
        <x:v>打开小鹤入门页</x:v>
      </x:c>
      <x:c r="F14" s="193" t="str">
        <x:v>在用户选中候选后打开固定 HTTPS 白名单地址。</x:v>
      </x:c>
      <x:c r="G14" s="194" t="str">
        <x:v>需要客户确认</x:v>
      </x:c>
      <x:c r="H14" s="194" t="str">
        <x:v>需要客户批准外部跳转及域名白名单。</x:v>
      </x:c>
      <x:c r="I14" s="195" t="str"/>
      <x:c r="J14" s="196" t="str"/>
      <x:c r="K14" s="197" t="str">
        <x:v>待项目审批</x:v>
      </x:c>
      <x:c r="L14" s="197" t="str">
        <x:v>待客户确认</x:v>
      </x:c>
    </x:row>
    <x:row r="15" ht="58" customHeight="1">
      <x:c r="A15" s="192" t="n">
        <x:v>11</x:v>
      </x:c>
      <x:c r="B15" s="192" t="n">
        <x:v>13</x:v>
      </x:c>
      <x:c r="C15" s="192" t="str">
        <x:v>orm</x:v>
      </x:c>
      <x:c r="D15" s="193" t="str">
        <x:v>$cmd(run(https://flypy.cc/help/#/sj),「入门」)</x:v>
      </x:c>
      <x:c r="E15" s="193" t="str">
        <x:v>打开小鹤入门指定章节</x:v>
      </x:c>
      <x:c r="F15" s="193" t="str">
        <x:v>在用户选中候选后打开固定 HTTPS 白名单地址并保留锚点。</x:v>
      </x:c>
      <x:c r="G15" s="194" t="str">
        <x:v>需要客户确认</x:v>
      </x:c>
      <x:c r="H15" s="194" t="str">
        <x:v>需要客户确认链接长期稳定及外部跳转口径。</x:v>
      </x:c>
      <x:c r="I15" s="195" t="str"/>
      <x:c r="J15" s="196" t="str"/>
      <x:c r="K15" s="197" t="str">
        <x:v>待项目审批</x:v>
      </x:c>
      <x:c r="L15" s="197" t="str">
        <x:v>待客户确认</x:v>
      </x:c>
    </x:row>
    <x:row r="16" ht="58" customHeight="1">
      <x:c r="A16" s="192" t="n">
        <x:v>12</x:v>
      </x:c>
      <x:c r="B16" s="192" t="n">
        <x:v>15</x:v>
      </x:c>
      <x:c r="C16" s="192" t="str">
        <x:v>ocd</x:v>
      </x:c>
      <x:c r="D16" s="193" t="str">
        <x:v>$cmd(show(设置),「设置菜单」)</x:v>
      </x:c>
      <x:c r="E16" s="193" t="str">
        <x:v>打开输入法设置</x:v>
      </x:c>
      <x:c r="F16" s="193" t="str">
        <x:v>打开本应用设置首页，不执行来源字符串。</x:v>
      </x:c>
      <x:c r="G16" s="194" t="str">
        <x:v>可直接实现</x:v>
      </x:c>
      <x:c r="H16" s="194" t="str">
        <x:v>应用内受控路由，目标固定。</x:v>
      </x:c>
      <x:c r="I16" s="195" t="str"/>
      <x:c r="J16" s="196" t="str"/>
      <x:c r="K16" s="197" t="str">
        <x:v>待项目审批</x:v>
      </x:c>
      <x:c r="L16" s="197" t="str">
        <x:v>审批后纳入</x:v>
      </x:c>
    </x:row>
    <x:row r="17" ht="58" customHeight="1">
      <x:c r="A17" s="192" t="n">
        <x:v>13</x:v>
      </x:c>
      <x:c r="B17" s="192" t="n">
        <x:v>16</x:v>
      </x:c>
      <x:c r="C17" s="192" t="str">
        <x:v>oiz</x:v>
      </x:c>
      <x:c r="D17" s="193" t="str">
        <x:v>$cmd(set(reload),[重载])</x:v>
      </x:c>
      <x:c r="E17" s="193" t="str">
        <x:v>重载输入法配置</x:v>
      </x:c>
      <x:c r="F17" s="193" t="str">
        <x:v>限定为重新加载设置、分类和用户词库；失败时保留上一份有效快照。</x:v>
      </x:c>
      <x:c r="G17" s="194" t="str">
        <x:v>需要客户确认</x:v>
      </x:c>
      <x:c r="H17" s="194" t="str">
        <x:v>需客户确认“重载”是否包含主码表、用户词频或仅配置。</x:v>
      </x:c>
      <x:c r="I17" s="195" t="str"/>
      <x:c r="J17" s="196" t="str"/>
      <x:c r="K17" s="197" t="str">
        <x:v>待项目审批</x:v>
      </x:c>
      <x:c r="L17" s="197" t="str">
        <x:v>待客户确认</x:v>
      </x:c>
    </x:row>
    <x:row r="18" ht="58" customHeight="1">
      <x:c r="A18" s="192" t="n">
        <x:v>14</x:v>
      </x:c>
      <x:c r="B18" s="192" t="n">
        <x:v>17</x:v>
      </x:c>
      <x:c r="C18" s="192" t="str">
        <x:v>ouz</x:v>
      </x:c>
      <x:c r="D18" s="193" t="str">
        <x:v>$cmd(set(reload),[重载])</x:v>
      </x:c>
      <x:c r="E18" s="193" t="str">
        <x:v>重载输入法配置（备用编码）</x:v>
      </x:c>
      <x:c r="F18" s="193" t="str">
        <x:v>与上一条共用同一受控重载动作。</x:v>
      </x:c>
      <x:c r="G18" s="194" t="str">
        <x:v>需要客户确认</x:v>
      </x:c>
      <x:c r="H18" s="194" t="str">
        <x:v>两个编码可同义映射，但重载范围需客户冻结。</x:v>
      </x:c>
      <x:c r="I18" s="195" t="str"/>
      <x:c r="J18" s="196" t="str"/>
      <x:c r="K18" s="197" t="str">
        <x:v>待项目审批</x:v>
      </x:c>
      <x:c r="L18" s="197" t="str">
        <x:v>待客户确认</x:v>
      </x:c>
    </x:row>
    <x:row r="19" ht="58" customHeight="1">
      <x:c r="A19" s="192" t="n">
        <x:v>15</x:v>
      </x:c>
      <x:c r="B19" s="192" t="n">
        <x:v>18</x:v>
      </x:c>
      <x:c r="C19" s="192" t="str">
        <x:v>ojy</x:v>
      </x:c>
      <x:c r="D19" s="193" t="str">
        <x:v>$cmd(keyboard(&lt;164&gt;),[静音])</x:v>
      </x:c>
      <x:c r="E19" s="193" t="str">
        <x:v>静音/系统音量控制</x:v>
      </x:c>
      <x:c r="F19" s="193" t="str">
        <x:v>不提供全局静音；可改为切换本输入法按键音开关。</x:v>
      </x:c>
      <x:c r="G19" s="194" t="str">
        <x:v>平台不支持/安全拒绝</x:v>
      </x:c>
      <x:c r="H19" s="194" t="str">
        <x:v>第三方输入法不应模拟系统键码或改变全局媒体状态。</x:v>
      </x:c>
      <x:c r="I19" s="195" t="str"/>
      <x:c r="J19" s="196" t="str"/>
      <x:c r="K19" s="197" t="str">
        <x:v>待项目审批</x:v>
      </x:c>
      <x:c r="L19" s="197" t="str">
        <x:v>仅考虑安全替代</x:v>
      </x:c>
    </x:row>
    <x:row r="20" ht="58" customHeight="1">
      <x:c r="A20" s="192" t="n">
        <x:v>16</x:v>
      </x:c>
      <x:c r="B20" s="192" t="n">
        <x:v>20</x:v>
      </x:c>
      <x:c r="C20" s="192" t="str">
        <x:v>oav</x:v>
      </x:c>
      <x:c r="D20" s="193" t="str">
        <x:v>$cmd(show(配置目录),「安装目录」)</x:v>
      </x:c>
      <x:c r="E20" s="193" t="str">
        <x:v>显示配置/安装目录</x:v>
      </x:c>
      <x:c r="F20" s="193" t="str">
        <x:v>不暴露沙箱路径；可改为打开“数据管理/导入导出”页面。</x:v>
      </x:c>
      <x:c r="G20" s="194" t="str">
        <x:v>平台不支持/安全拒绝</x:v>
      </x:c>
      <x:c r="H20" s="194" t="str">
        <x:v>HarmonyOS 应用沙箱目录不是客户可直接浏览的安装目录。</x:v>
      </x:c>
      <x:c r="I20" s="195" t="str"/>
      <x:c r="J20" s="196" t="str"/>
      <x:c r="K20" s="197" t="str">
        <x:v>待项目审批</x:v>
      </x:c>
      <x:c r="L20" s="197" t="str">
        <x:v>仅考虑安全替代</x:v>
      </x:c>
    </x:row>
    <x:row r="21" ht="58" customHeight="1">
      <x:c r="A21" s="192" t="n">
        <x:v>17</x:v>
      </x:c>
      <x:c r="B21" s="192" t="n">
        <x:v>21</x:v>
      </x:c>
      <x:c r="C21" s="192" t="str">
        <x:v>oyh</x:v>
      </x:c>
      <x:c r="D21" s="193" t="str">
        <x:v>$cmd(open($userpath$/小鹤用户词库.txt),「打开用户词库」)</x:v>
      </x:c>
      <x:c r="E21" s="193" t="str">
        <x:v>打开用户词库</x:v>
      </x:c>
      <x:c r="F21" s="193" t="str">
        <x:v>打开应用内“用户词库”管理页，不按路径直接打开沙箱文件。</x:v>
      </x:c>
      <x:c r="G21" s="194" t="str">
        <x:v>可直接实现</x:v>
      </x:c>
      <x:c r="H21" s="194" t="str">
        <x:v>项目已有用户词库管理能力，可用固定应用内路由承载。</x:v>
      </x:c>
      <x:c r="I21" s="195" t="str"/>
      <x:c r="J21" s="196" t="str"/>
      <x:c r="K21" s="197" t="str">
        <x:v>待项目审批</x:v>
      </x:c>
      <x:c r="L21" s="197" t="str">
        <x:v>审批后纳入</x:v>
      </x:c>
    </x:row>
    <x:row r="22" ht="58" customHeight="1">
      <x:c r="A22" s="192" t="n">
        <x:v>18</x:v>
      </x:c>
      <x:c r="B22" s="192" t="n">
        <x:v>22</x:v>
      </x:c>
      <x:c r="C22" s="192" t="str">
        <x:v>odr</x:v>
      </x:c>
      <x:c r="D22" s="193" t="str">
        <x:v>$cmd(add($userpath$/小鹤用户词库.txt),「导入用户词库」)</x:v>
      </x:c>
      <x:c r="E22" s="193" t="str">
        <x:v>导入用户词库</x:v>
      </x:c>
      <x:c r="F22" s="193" t="str">
        <x:v>触发已授权的 IMPORT_USER_LEXICON；通过系统文件选择器选择来源并原子导入。</x:v>
      </x:c>
      <x:c r="G22" s="194" t="str">
        <x:v>可直接实现</x:v>
      </x:c>
      <x:c r="H22" s="194" t="str">
        <x:v>现有受控动作协议已支持，且不绕过系统文件授权。</x:v>
      </x:c>
      <x:c r="I22" s="195" t="str"/>
      <x:c r="J22" s="196" t="str"/>
      <x:c r="K22" s="197" t="str">
        <x:v>待项目审批</x:v>
      </x:c>
      <x:c r="L22" s="197" t="str">
        <x:v>审批后纳入</x:v>
      </x:c>
    </x:row>
    <x:row r="23" ht="58" customHeight="1">
      <x:c r="A23" s="192" t="n">
        <x:v>19</x:v>
      </x:c>
      <x:c r="B23" s="192" t="n">
        <x:v>24</x:v>
      </x:c>
      <x:c r="C23" s="192" t="str">
        <x:v>ojf</x:v>
      </x:c>
      <x:c r="D23" s="193" t="str">
        <x:v>$cmd(set(ime-hans2hant=?), [简繁切换])</x:v>
      </x:c>
      <x:c r="E23" s="193" t="str">
        <x:v>简体/繁体切换</x:v>
      </x:c>
      <x:c r="F23" s="193" t="str">
        <x:v>若客户确认范围，新增应用内转换开关并只使用随包批准的转换表。</x:v>
      </x:c>
      <x:c r="G23" s="194" t="str">
        <x:v>需要客户确认</x:v>
      </x:c>
      <x:c r="H23" s="194" t="str">
        <x:v>需确认转换作用于候选、上屏文本还是界面；当前转换资源仍未作为产品能力冻结。</x:v>
      </x:c>
      <x:c r="I23" s="195" t="str"/>
      <x:c r="J23" s="196" t="str"/>
      <x:c r="K23" s="197" t="str">
        <x:v>待项目审批</x:v>
      </x:c>
      <x:c r="L23" s="197" t="str">
        <x:v>待客户确认</x:v>
      </x:c>
    </x:row>
    <x:row r="24" ht="58" customHeight="1">
      <x:c r="A24" s="192" t="n">
        <x:v>20</x:v>
      </x:c>
      <x:c r="B24" s="192" t="n">
        <x:v>25</x:v>
      </x:c>
      <x:c r="C24" s="192" t="str">
        <x:v>ovy</x:v>
      </x:c>
      <x:c r="D24" s="193" t="str">
        <x:v>$cmd(set(ime-cnuseensymbol=?), [中英标点切换])</x:v>
      </x:c>
      <x:c r="E24" s="193" t="str">
        <x:v>中文/英文标点切换</x:v>
      </x:c>
      <x:c r="F24" s="193" t="str">
        <x:v>新增输入法内部标点模式枚举，不注入系统按键。</x:v>
      </x:c>
      <x:c r="G24" s="194" t="str">
        <x:v>可直接实现</x:v>
      </x:c>
      <x:c r="H24" s="194" t="str">
        <x:v>可作为本输入法确定性设置实现。</x:v>
      </x:c>
      <x:c r="I24" s="195" t="str"/>
      <x:c r="J24" s="196" t="str"/>
      <x:c r="K24" s="197" t="str">
        <x:v>待项目审批</x:v>
      </x:c>
      <x:c r="L24" s="197" t="str">
        <x:v>审批后纳入</x:v>
      </x:c>
    </x:row>
    <x:row r="25" ht="58" customHeight="1">
      <x:c r="A25" s="192" t="n">
        <x:v>21</x:v>
      </x:c>
      <x:c r="B25" s="192" t="n">
        <x:v>26</x:v>
      </x:c>
      <x:c r="C25" s="192" t="str">
        <x:v>oqb</x:v>
      </x:c>
      <x:c r="D25" s="193" t="str">
        <x:v>$cmd(set(ime-quanjiao=?), [全半角切换])</x:v>
      </x:c>
      <x:c r="E25" s="193" t="str">
        <x:v>全角/半角切换</x:v>
      </x:c>
      <x:c r="F25" s="193" t="str">
        <x:v>新增固定字符转换模式；由客户给出字母、数字、空格和标点范围。</x:v>
      </x:c>
      <x:c r="G25" s="194" t="str">
        <x:v>需要客户确认</x:v>
      </x:c>
      <x:c r="H25" s="194" t="str">
        <x:v>不同输入法对全半角覆盖范围不一致，必须先冻结规则。</x:v>
      </x:c>
      <x:c r="I25" s="195" t="str"/>
      <x:c r="J25" s="196" t="str"/>
      <x:c r="K25" s="197" t="str">
        <x:v>待项目审批</x:v>
      </x:c>
      <x:c r="L25" s="197" t="str">
        <x:v>待客户确认</x:v>
      </x:c>
    </x:row>
    <x:row r="26" ht="58" customHeight="1">
      <x:c r="A26" s="192" t="n">
        <x:v>22</x:v>
      </x:c>
      <x:c r="B26" s="192" t="n">
        <x:v>28</x:v>
      </x:c>
      <x:c r="C26" s="192" t="str">
        <x:v>oui</x:v>
      </x:c>
      <x:c r="D26" s="193" t="str">
        <x:v>$cmd(deleteline,[删行])</x:v>
      </x:c>
      <x:c r="E26" s="193" t="str">
        <x:v>删除当前行</x:v>
      </x:c>
      <x:c r="F26" s="193" t="str">
        <x:v>显式触发后读取受限的光标前后文本，只删除当前行并进行会话/边界复核。</x:v>
      </x:c>
      <x:c r="G26" s="194" t="str">
        <x:v>可直接实现</x:v>
      </x:c>
      <x:c r="H26" s="194" t="str">
        <x:v>可复用安全删除执行器；宿主不提供文本查询时应拒绝而非猜测。</x:v>
      </x:c>
      <x:c r="I26" s="195" t="str"/>
      <x:c r="J26" s="196" t="str"/>
      <x:c r="K26" s="197" t="str">
        <x:v>待项目审批</x:v>
      </x:c>
      <x:c r="L26" s="197" t="str">
        <x:v>审批后纳入</x:v>
      </x:c>
    </x:row>
    <x:row r="27" ht="58" customHeight="1">
      <x:c r="A27" s="192" t="n">
        <x:v>23</x:v>
      </x:c>
      <x:c r="B27" s="192" t="n">
        <x:v>29</x:v>
      </x:c>
      <x:c r="C27" s="192" t="str">
        <x:v>oiu</x:v>
      </x:c>
      <x:c r="D27" s="193" t="str">
        <x:v>$cmd(deleteline,[删行])</x:v>
      </x:c>
      <x:c r="E27" s="193" t="str">
        <x:v>删除当前行（备用编码）</x:v>
      </x:c>
      <x:c r="F27" s="193" t="str">
        <x:v>与上一条共用同一受控删行动作。</x:v>
      </x:c>
      <x:c r="G27" s="194" t="str">
        <x:v>可直接实现</x:v>
      </x:c>
      <x:c r="H27" s="194" t="str">
        <x:v>两个编码可同义映射，仍执行边界与会话校验。</x:v>
      </x:c>
      <x:c r="I27" s="195" t="str"/>
      <x:c r="J27" s="196" t="str"/>
      <x:c r="K27" s="197" t="str">
        <x:v>待项目审批</x:v>
      </x:c>
      <x:c r="L27" s="197" t="str">
        <x:v>审批后纳入</x:v>
      </x:c>
    </x:row>
    <x:row r="28" ht="58" customHeight="1">
      <x:c r="A28" s="192" t="n">
        <x:v>24</x:v>
      </x:c>
      <x:c r="B28" s="192" t="n">
        <x:v>31</x:v>
      </x:c>
      <x:c r="C28" s="192" t="str">
        <x:v>oqr</x:v>
      </x:c>
      <x:c r="D28" s="193" t="str">
        <x:v>$cmd(set(ime-embedmode=1),[嵌入编码])</x:v>
      </x:c>
      <x:c r="E28" s="193" t="str">
        <x:v>显示嵌入编码</x:v>
      </x:c>
      <x:c r="F28" s="193" t="str">
        <x:v>可改为候选栏/预编辑区显示编码提示，不修改宿主正文。</x:v>
      </x:c>
      <x:c r="G28" s="194" t="str">
        <x:v>需要客户确认</x:v>
      </x:c>
      <x:c r="H28" s="194" t="str">
        <x:v>需确认“嵌入”是预编辑显示、候选注音还是直接上屏。</x:v>
      </x:c>
      <x:c r="I28" s="195" t="str"/>
      <x:c r="J28" s="196" t="str"/>
      <x:c r="K28" s="197" t="str">
        <x:v>待项目审批</x:v>
      </x:c>
      <x:c r="L28" s="197" t="str">
        <x:v>待客户确认</x:v>
      </x:c>
    </x:row>
    <x:row r="29" ht="58" customHeight="1">
      <x:c r="A29" s="192" t="n">
        <x:v>25</x:v>
      </x:c>
      <x:c r="B29" s="192" t="n">
        <x:v>32</x:v>
      </x:c>
      <x:c r="C29" s="192" t="str">
        <x:v>oqr</x:v>
      </x:c>
      <x:c r="D29" s="193" t="str">
        <x:v>$cmd(set(ime-embedmode=0),[关闭])</x:v>
      </x:c>
      <x:c r="E29" s="193" t="str">
        <x:v>关闭嵌入编码</x:v>
      </x:c>
      <x:c r="F29" s="193" t="str">
        <x:v>与上一条共用显示开关。</x:v>
      </x:c>
      <x:c r="G29" s="194" t="str">
        <x:v>需要客户确认</x:v>
      </x:c>
      <x:c r="H29" s="194" t="str">
        <x:v>依赖客户先冻结嵌入编码的显示位置与生命周期。</x:v>
      </x:c>
      <x:c r="I29" s="195" t="str"/>
      <x:c r="J29" s="196" t="str"/>
      <x:c r="K29" s="197" t="str">
        <x:v>待项目审批</x:v>
      </x:c>
      <x:c r="L29" s="197" t="str">
        <x:v>待客户确认</x:v>
      </x:c>
    </x:row>
    <x:row r="30" ht="58" customHeight="1">
      <x:c r="A30" s="192" t="n">
        <x:v>26</x:v>
      </x:c>
      <x:c r="B30" s="192" t="n">
        <x:v>34</x:v>
      </x:c>
      <x:c r="C30" s="192" t="str">
        <x:v>ojc</x:v>
      </x:c>
      <x:c r="D30" s="193" t="str">
        <x:v>$cmd(addword,[加词])</x:v>
      </x:c>
      <x:c r="E30" s="193" t="str">
        <x:v>将当前内容加入用户词库</x:v>
      </x:c>
      <x:c r="F30" s="193" t="str">
        <x:v>打开带预填内容的用户词条确认页，用户确认编码、动作和位置后保存。</x:v>
      </x:c>
      <x:c r="G30" s="194" t="str">
        <x:v>需要客户确认</x:v>
      </x:c>
      <x:c r="H30" s="194" t="str">
        <x:v>需确认取词范围、编码生成方式以及是否允许无二次确认。</x:v>
      </x:c>
      <x:c r="I30" s="195" t="str"/>
      <x:c r="J30" s="196" t="str"/>
      <x:c r="K30" s="197" t="str">
        <x:v>待项目审批</x:v>
      </x:c>
      <x:c r="L30" s="197" t="str">
        <x:v>待客户确认</x:v>
      </x:c>
    </x:row>
    <x:row r="31" ht="58" customHeight="1">
      <x:c r="A31" s="192" t="n">
        <x:v>27</x:v>
      </x:c>
      <x:c r="B31" s="192" t="n">
        <x:v>37</x:v>
      </x:c>
      <x:c r="C31" s="192" t="str">
        <x:v>ovn</x:v>
      </x:c>
      <x:c r="D31" s="193" t="str">
        <x:v>$cmd(set(ime-adjustsymboldelay=600),[智能标点])</x:v>
      </x:c>
      <x:c r="E31" s="193" t="str">
        <x:v>智能句号延迟设为 600ms</x:v>
      </x:c>
      <x:c r="F31" s="193" t="str">
        <x:v>映射到 smartPeriodTimeoutMs=600 的受控设置。</x:v>
      </x:c>
      <x:c r="G31" s="194" t="str">
        <x:v>可直接实现</x:v>
      </x:c>
      <x:c r="H31" s="194" t="str">
        <x:v>现有设置已接受 0–2000ms，并以串行事务持久化。</x:v>
      </x:c>
      <x:c r="I31" s="195" t="str"/>
      <x:c r="J31" s="196" t="str"/>
      <x:c r="K31" s="197" t="str">
        <x:v>待项目审批</x:v>
      </x:c>
      <x:c r="L31" s="197" t="str">
        <x:v>审批后纳入</x:v>
      </x:c>
    </x:row>
    <x:row r="32" ht="58" customHeight="1">
      <x:c r="A32" s="192" t="n">
        <x:v>28</x:v>
      </x:c>
      <x:c r="B32" s="192" t="n">
        <x:v>38</x:v>
      </x:c>
      <x:c r="C32" s="192" t="str">
        <x:v>ovn</x:v>
      </x:c>
      <x:c r="D32" s="193" t="str">
        <x:v>$cmd(set(ime-adjustsymboldelay=0),[关闭])</x:v>
      </x:c>
      <x:c r="E32" s="193" t="str">
        <x:v>关闭智能句号</x:v>
      </x:c>
      <x:c r="F32" s="193" t="str">
        <x:v>映射到 smartPeriodTimeoutMs=0。</x:v>
      </x:c>
      <x:c r="G32" s="194" t="str">
        <x:v>可直接实现</x:v>
      </x:c>
      <x:c r="H32" s="194" t="str">
        <x:v>现有设置可直接承载。</x:v>
      </x:c>
      <x:c r="I32" s="195" t="str"/>
      <x:c r="J32" s="196" t="str"/>
      <x:c r="K32" s="197" t="str">
        <x:v>待项目审批</x:v>
      </x:c>
      <x:c r="L32" s="197" t="str">
        <x:v>审批后纳入</x:v>
      </x:c>
    </x:row>
    <x:row r="33" ht="58" customHeight="1">
      <x:c r="A33" s="192" t="n">
        <x:v>29</x:v>
      </x:c>
      <x:c r="B33" s="192" t="n">
        <x:v>39</x:v>
      </x:c>
      <x:c r="C33" s="192" t="str">
        <x:v>osz</x:v>
      </x:c>
      <x:c r="D33" s="193" t="str">
        <x:v>$cmd(set(ime-numsymbol=.),[数字标点])</x:v>
      </x:c>
      <x:c r="E33" s="193" t="str">
        <x:v>数字后的标点使用句点</x:v>
      </x:c>
      <x:c r="F33" s="193" t="str">
        <x:v>新增固定“数字标点”策略；先确认中文/英文模式及小数输入优先级。</x:v>
      </x:c>
      <x:c r="G33" s="194" t="str">
        <x:v>需要客户确认</x:v>
      </x:c>
      <x:c r="H33" s="194" t="str">
        <x:v>必须避免把小数点、网址和连续数字误改。</x:v>
      </x:c>
      <x:c r="I33" s="195" t="str"/>
      <x:c r="J33" s="196" t="str"/>
      <x:c r="K33" s="197" t="str">
        <x:v>待项目审批</x:v>
      </x:c>
      <x:c r="L33" s="197" t="str">
        <x:v>待客户确认</x:v>
      </x:c>
    </x:row>
    <x:row r="34" ht="58" customHeight="1">
      <x:c r="A34" s="192" t="n">
        <x:v>30</x:v>
      </x:c>
      <x:c r="B34" s="192" t="n">
        <x:v>40</x:v>
      </x:c>
      <x:c r="C34" s="192" t="str">
        <x:v>osz</x:v>
      </x:c>
      <x:c r="D34" s="193" t="str">
        <x:v>$cmd(set(ime-numsymbol=0),[关闭])</x:v>
      </x:c>
      <x:c r="E34" s="193" t="str">
        <x:v>关闭数字标点策略</x:v>
      </x:c>
      <x:c r="F34" s="193" t="str">
        <x:v>恢复默认数字输入行为。</x:v>
      </x:c>
      <x:c r="G34" s="194" t="str">
        <x:v>需要客户确认</x:v>
      </x:c>
      <x:c r="H34" s="194" t="str">
        <x:v>依赖上一条策略范围先冻结。</x:v>
      </x:c>
      <x:c r="I34" s="195" t="str"/>
      <x:c r="J34" s="196" t="str"/>
      <x:c r="K34" s="197" t="str">
        <x:v>待项目审批</x:v>
      </x:c>
      <x:c r="L34" s="197" t="str">
        <x:v>待客户确认</x:v>
      </x:c>
    </x:row>
    <x:row r="35" ht="58" customHeight="1">
      <x:c r="A35" s="192" t="n">
        <x:v>31</x:v>
      </x:c>
      <x:c r="B35" s="192" t="n">
        <x:v>42</x:v>
      </x:c>
      <x:c r="C35" s="192" t="str">
        <x:v>oss</x:v>
      </x:c>
      <x:c r="D35" s="193" t="str">
        <x:v>$cmd(autosearch,「浏览器」)</x:v>
      </x:c>
      <x:c r="E35" s="193" t="str">
        <x:v>自动使用浏览器搜索</x:v>
      </x:c>
      <x:c r="F35" s="193" t="str">
        <x:v>拒绝无目标、无白名单的自动外部搜索；可改为用户确认后的固定搜索提供方。</x:v>
      </x:c>
      <x:c r="G35" s="194" t="str">
        <x:v>平台不支持/安全拒绝</x:v>
      </x:c>
      <x:c r="H35" s="194" t="str">
        <x:v>原命令缺少目标和数据边界，可能泄露输入内容并触发未批准外部跳转。</x:v>
      </x:c>
      <x:c r="I35" s="195" t="str"/>
      <x:c r="J35" s="196" t="str"/>
      <x:c r="K35" s="197" t="str">
        <x:v>待项目审批</x:v>
      </x:c>
      <x:c r="L35" s="197" t="str">
        <x:v>仅考虑安全替代</x:v>
      </x:c>
    </x:row>
    <x:row r="36" ht="58" customHeight="1">
      <x:c r="A36" s="192" t="n">
        <x:v>32</x:v>
      </x:c>
      <x:c r="B36" s="192" t="n">
        <x:v>43</x:v>
      </x:c>
      <x:c r="C36" s="192" t="str">
        <x:v>oss</x:v>
      </x:c>
      <x:c r="D36" s="193" t="str">
        <x:v>$cmd(autosearch(https://www.baidu.com/s?wd={word},large),「百度」)</x:v>
      </x:c>
      <x:c r="E36" s="193" t="str">
        <x:v>用百度搜索当前词</x:v>
      </x:c>
      <x:c r="F36" s="193" t="str">
        <x:v>仅在用户显式触发后，对当前已确认文本 URL 编码并打开固定 HTTPS 搜索模板。</x:v>
      </x:c>
      <x:c r="G36" s="194" t="str">
        <x:v>需要客户确认</x:v>
      </x:c>
      <x:c r="H36" s="194" t="str">
        <x:v>需确认发送内容范围、隐私提示、搜索提供方及退出当前应用的体验。</x:v>
      </x:c>
      <x:c r="I36" s="195" t="str"/>
      <x:c r="J36" s="196" t="str"/>
      <x:c r="K36" s="197" t="str">
        <x:v>待项目审批</x:v>
      </x:c>
      <x:c r="L36" s="197" t="str">
        <x:v>待客户确认</x:v>
      </x:c>
    </x:row>
    <x:row r="37" ht="58" customHeight="1">
      <x:c r="A37" s="192" t="n">
        <x:v>33</x:v>
      </x:c>
      <x:c r="B37" s="192" t="n">
        <x:v>44</x:v>
      </x:c>
      <x:c r="C37" s="192" t="str">
        <x:v>ozd</x:v>
      </x:c>
      <x:c r="D37" s="193" t="str">
        <x:v>$cmd(run(https://www.zdic.net/hans/{cursorbefore}{clip}),「汉典」)</x:v>
      </x:c>
      <x:c r="E37" s="193" t="str">
        <x:v>将光标前文本和剪贴板内容发送到汉典</x:v>
      </x:c>
      <x:c r="F37" s="193" t="str">
        <x:v>拒绝自动拼接剪贴板；可改为只发送用户明确选定/确认的单段文本。</x:v>
      </x:c>
      <x:c r="G37" s="194" t="str">
        <x:v>平台不支持/安全拒绝</x:v>
      </x:c>
      <x:c r="H37" s="194" t="str">
        <x:v>静默读取并向外部站点发送剪贴板/编辑器内容违反最小数据原则。</x:v>
      </x:c>
      <x:c r="I37" s="195" t="str"/>
      <x:c r="J37" s="196" t="str"/>
      <x:c r="K37" s="197" t="str">
        <x:v>待项目审批</x:v>
      </x:c>
      <x:c r="L37" s="197" t="str">
        <x:v>仅考虑安全替代</x:v>
      </x:c>
    </x:row>
    <x:row r="38" ht="58" customHeight="1">
      <x:c r="A38" s="192" t="n">
        <x:v>34</x:v>
      </x:c>
      <x:c r="B38" s="192" t="n">
        <x:v>45</x:v>
      </x:c>
      <x:c r="C38" s="192" t="str">
        <x:v>ozd</x:v>
      </x:c>
      <x:c r="D38" s="193" t="str">
        <x:v>$cmd(run(https://zi.tools/zi/{cursorbefore}{clip}),「字统」)</x:v>
      </x:c>
      <x:c r="E38" s="193" t="str">
        <x:v>将光标前文本和剪贴板内容发送到字统</x:v>
      </x:c>
      <x:c r="F38" s="193" t="str">
        <x:v>拒绝自动拼接剪贴板；可改为只发送用户明确选定/确认的单段文本。</x:v>
      </x:c>
      <x:c r="G38" s="194" t="str">
        <x:v>平台不支持/安全拒绝</x:v>
      </x:c>
      <x:c r="H38" s="194" t="str">
        <x:v>静默读取并向外部站点发送剪贴板/编辑器内容违反最小数据原则。</x:v>
      </x:c>
      <x:c r="I38" s="195" t="str"/>
      <x:c r="J38" s="196" t="str"/>
      <x:c r="K38" s="197" t="str">
        <x:v>待项目审批</x:v>
      </x:c>
      <x:c r="L38" s="197" t="str">
        <x:v>仅考虑安全替代</x:v>
      </x:c>
    </x:row>
    <x:row r="39" ht="58" customHeight="1">
      <x:c r="A39" s="192" t="n">
        <x:v>35</x:v>
      </x:c>
      <x:c r="B39" s="192" t="n">
        <x:v>47</x:v>
      </x:c>
      <x:c r="C39" s="192" t="str">
        <x:v>oqma</x:v>
      </x:c>
      <x:c r="D39" s="193" t="str">
        <x:v>$cmd(set(ime-maxcleancount=4),[4码空码自动清])</x:v>
      </x:c>
      <x:c r="E39" s="193" t="str">
        <x:v>4 码空码自动清除</x:v>
      </x:c>
      <x:c r="F39" s="193" t="str">
        <x:v>新增确定性空码清理策略，并保留上一份有效配置。</x:v>
      </x:c>
      <x:c r="G39" s="194" t="str">
        <x:v>需要客户确认</x:v>
      </x:c>
      <x:c r="H39" s="194" t="str">
        <x:v>需确认“空码”的判定时机、是否保留末键及对顶屏的影响。</x:v>
      </x:c>
      <x:c r="I39" s="195" t="str"/>
      <x:c r="J39" s="196" t="str"/>
      <x:c r="K39" s="197" t="str">
        <x:v>待项目审批</x:v>
      </x:c>
      <x:c r="L39" s="197" t="str">
        <x:v>待客户确认</x:v>
      </x:c>
    </x:row>
    <x:row r="40" ht="58" customHeight="1">
      <x:c r="A40" s="192" t="n">
        <x:v>36</x:v>
      </x:c>
      <x:c r="B40" s="192" t="n">
        <x:v>48</x:v>
      </x:c>
      <x:c r="C40" s="192" t="str">
        <x:v>oqma</x:v>
      </x:c>
      <x:c r="D40" s="193" t="str">
        <x:v>$cmd(set(ime-maxcleancount=12),[12])</x:v>
      </x:c>
      <x:c r="E40" s="193" t="str">
        <x:v>12 码空码自动清除</x:v>
      </x:c>
      <x:c r="F40" s="193" t="str">
        <x:v>与上一条共用阈值设置，阈值限定为批准值。</x:v>
      </x:c>
      <x:c r="G40" s="194" t="str">
        <x:v>需要客户确认</x:v>
      </x:c>
      <x:c r="H40" s="194" t="str">
        <x:v>需确认 12 的用途以及与最大编码长度的关系。</x:v>
      </x:c>
      <x:c r="I40" s="195" t="str"/>
      <x:c r="J40" s="196" t="str"/>
      <x:c r="K40" s="197" t="str">
        <x:v>待项目审批</x:v>
      </x:c>
      <x:c r="L40" s="197" t="str">
        <x:v>待客户确认</x:v>
      </x:c>
    </x:row>
    <x:row r="41" ht="58" customHeight="1">
      <x:c r="A41" s="192" t="n">
        <x:v>37</x:v>
      </x:c>
      <x:c r="B41" s="192" t="n">
        <x:v>49</x:v>
      </x:c>
      <x:c r="C41" s="192" t="str">
        <x:v>odp</x:v>
      </x:c>
      <x:c r="D41" s="193" t="str">
        <x:v>$cmd(set(ime-dinglen=4),[四码后顶])</x:v>
      </x:c>
      <x:c r="E41" s="193" t="str">
        <x:v>四码后顶屏</x:v>
      </x:c>
      <x:c r="F41" s="193" t="str">
        <x:v>新增固定四码顶屏策略并补充空码/第五码回归测试。</x:v>
      </x:c>
      <x:c r="G41" s="194" t="str">
        <x:v>需要客户确认</x:v>
      </x:c>
      <x:c r="H41" s="194" t="str">
        <x:v>需客户给出候选唯一、多候选、空码及标点情况下的精确期望。</x:v>
      </x:c>
      <x:c r="I41" s="195" t="str"/>
      <x:c r="J41" s="196" t="str"/>
      <x:c r="K41" s="197" t="str">
        <x:v>待项目审批</x:v>
      </x:c>
      <x:c r="L41" s="197" t="str">
        <x:v>待客户确认</x:v>
      </x:c>
    </x:row>
    <x:row r="42" ht="58" customHeight="1">
      <x:c r="A42" s="192" t="n">
        <x:v>38</x:v>
      </x:c>
      <x:c r="B42" s="192" t="n">
        <x:v>50</x:v>
      </x:c>
      <x:c r="C42" s="192" t="str">
        <x:v>odp</x:v>
      </x:c>
      <x:c r="D42" s="193" t="str">
        <x:v>$cmd(set(ime-dinglen=4;ime-aotu=4),[四码唯一自动上屏])</x:v>
      </x:c>
      <x:c r="E42" s="193" t="str">
        <x:v>四码唯一候选自动上屏</x:v>
      </x:c>
      <x:c r="F42" s="193" t="str">
        <x:v>只在四码且唯一候选时自动提交；其余情况保持候选态。</x:v>
      </x:c>
      <x:c r="G42" s="194" t="str">
        <x:v>需要客户确认</x:v>
      </x:c>
      <x:c r="H42" s="194" t="str">
        <x:v>源参数含疑似拼写 ime-aotu，需确认确切语义和与上一条的优先级。</x:v>
      </x:c>
      <x:c r="I42" s="195" t="str"/>
      <x:c r="J42" s="196" t="str"/>
      <x:c r="K42" s="197" t="str">
        <x:v>待项目审批</x:v>
      </x:c>
      <x:c r="L42" s="197" t="str">
        <x:v>待客户确认</x:v>
      </x:c>
    </x:row>
    <x:row r="43" ht="58" customHeight="1">
      <x:c r="A43" s="192" t="n">
        <x:v>39</x:v>
      </x:c>
      <x:c r="B43" s="192" t="n">
        <x:v>52</x:v>
      </x:c>
      <x:c r="C43" s="192" t="str">
        <x:v>ojj</x:v>
      </x:c>
      <x:c r="D43" s="193" t="str">
        <x:v>$cmd(set(ime-usedassisttype=-全码词-全码字-生僻字),[熟手])</x:v>
      </x:c>
      <x:c r="E43" s="193" t="str">
        <x:v>切换为熟手分类预设</x:v>
      </x:c>
      <x:c r="F43" s="193" t="str">
        <x:v>映射到固定 category.set 预设，不解析来源参数串。</x:v>
      </x:c>
      <x:c r="G43" s="194" t="str">
        <x:v>需要客户确认</x:v>
      </x:c>
      <x:c r="H43" s="194" t="str">
        <x:v>需客户确认“全码词/全码字/生僻字”的启停集合及 core 必保规则。</x:v>
      </x:c>
      <x:c r="I43" s="195" t="str"/>
      <x:c r="J43" s="196" t="str"/>
      <x:c r="K43" s="197" t="str">
        <x:v>待项目审批</x:v>
      </x:c>
      <x:c r="L43" s="197" t="str">
        <x:v>待客户确认</x:v>
      </x:c>
    </x:row>
    <x:row r="44" ht="58" customHeight="1">
      <x:c r="A44" s="192" t="n">
        <x:v>40</x:v>
      </x:c>
      <x:c r="B44" s="192" t="n">
        <x:v>53</x:v>
      </x:c>
      <x:c r="C44" s="192" t="str">
        <x:v>ojj</x:v>
      </x:c>
      <x:c r="D44" s="193" t="str">
        <x:v>$cmd(set(ime-usedassisttype=+全码词-全码字-生僻字),[常规])</x:v>
      </x:c>
      <x:c r="E44" s="193" t="str">
        <x:v>切换为常规分类预设</x:v>
      </x:c>
      <x:c r="F44" s="193" t="str">
        <x:v>映射到固定 category.set 预设。</x:v>
      </x:c>
      <x:c r="G44" s="194" t="str">
        <x:v>需要客户确认</x:v>
      </x:c>
      <x:c r="H44" s="194" t="str">
        <x:v>需客户确认常规预设的完整分类集合。</x:v>
      </x:c>
      <x:c r="I44" s="195" t="str"/>
      <x:c r="J44" s="196" t="str"/>
      <x:c r="K44" s="197" t="str">
        <x:v>待项目审批</x:v>
      </x:c>
      <x:c r="L44" s="197" t="str">
        <x:v>待客户确认</x:v>
      </x:c>
    </x:row>
    <x:row r="45" ht="58" customHeight="1">
      <x:c r="A45" s="192" t="n">
        <x:v>41</x:v>
      </x:c>
      <x:c r="B45" s="192" t="n">
        <x:v>54</x:v>
      </x:c>
      <x:c r="C45" s="192" t="str">
        <x:v>ojj</x:v>
      </x:c>
      <x:c r="D45" s="193" t="str">
        <x:v>$cmd(set(ime-usedassisttype=+全码词+全码字+生僻字,[初学])</x:v>
      </x:c>
      <x:c r="E45" s="193" t="str">
        <x:v>切换为初学分类预设</x:v>
      </x:c>
      <x:c r="F45" s="193" t="str">
        <x:v>映射到固定 category.set 预设。</x:v>
      </x:c>
      <x:c r="G45" s="194" t="str">
        <x:v>需要客户确认</x:v>
      </x:c>
      <x:c r="H45" s="194" t="str">
        <x:v>源命令括号疑似不完整，且需冻结初学预设的完整分类集合。</x:v>
      </x:c>
      <x:c r="I45" s="195" t="str"/>
      <x:c r="J45" s="196" t="str"/>
      <x:c r="K45" s="197" t="str">
        <x:v>待项目审批</x:v>
      </x:c>
      <x:c r="L45" s="197" t="str">
        <x:v>待客户确认</x:v>
      </x:c>
    </x:row>
    <x:row r="46" ht="58" customHeight="1">
      <x:c r="A46" s="192" t="n">
        <x:v>42</x:v>
      </x:c>
      <x:c r="B46" s="192" t="n">
        <x:v>55</x:v>
      </x:c>
      <x:c r="C46" s="192" t="str">
        <x:v>oej</x:v>
      </x:c>
      <x:c r="D46" s="193" t="str">
        <x:v>$cmd(set(ime-usedassisttype=+二简次选),启用&lt;二简次选&gt;)</x:v>
      </x:c>
      <x:c r="E46" s="193" t="str">
        <x:v>启用二简次选</x:v>
      </x:c>
      <x:c r="F46" s="193" t="str">
        <x:v>映射到 category.enable(two-key-secondary)。</x:v>
      </x:c>
      <x:c r="G46" s="194" t="str">
        <x:v>可直接实现</x:v>
      </x:c>
      <x:c r="H46" s="194" t="str">
        <x:v>现有直通控制和分类白名单可直接承载。</x:v>
      </x:c>
      <x:c r="I46" s="195" t="str"/>
      <x:c r="J46" s="196" t="str"/>
      <x:c r="K46" s="197" t="str">
        <x:v>待项目审批</x:v>
      </x:c>
      <x:c r="L46" s="197" t="str">
        <x:v>审批后纳入</x:v>
      </x:c>
    </x:row>
    <x:row r="47" ht="58" customHeight="1">
      <x:c r="A47" s="192" t="n">
        <x:v>43</x:v>
      </x:c>
      <x:c r="B47" s="192" t="n">
        <x:v>56</x:v>
      </x:c>
      <x:c r="C47" s="192" t="str">
        <x:v>oej</x:v>
      </x:c>
      <x:c r="D47" s="193" t="str">
        <x:v>$cmd(set(ime-usedassisttype=-二简次选),[关闭])</x:v>
      </x:c>
      <x:c r="E47" s="193" t="str">
        <x:v>关闭二简次选</x:v>
      </x:c>
      <x:c r="F47" s="193" t="str">
        <x:v>映射到 category.disable(two-key-secondary)。</x:v>
      </x:c>
      <x:c r="G47" s="194" t="str">
        <x:v>可直接实现</x:v>
      </x:c>
      <x:c r="H47" s="194" t="str">
        <x:v>现有直通控制和分类白名单可直接承载。</x:v>
      </x:c>
      <x:c r="I47" s="195" t="str"/>
      <x:c r="J47" s="196" t="str"/>
      <x:c r="K47" s="197" t="str">
        <x:v>待项目审批</x:v>
      </x:c>
      <x:c r="L47" s="197" t="str">
        <x:v>审批后纳入</x:v>
      </x:c>
    </x:row>
    <x:row r="48" ht="58" customHeight="1">
      <x:c r="A48" s="192" t="n">
        <x:v>44</x:v>
      </x:c>
      <x:c r="B48" s="192" t="n">
        <x:v>58</x:v>
      </x:c>
      <x:c r="C48" s="192" t="str">
        <x:v>jysi</x:v>
      </x:c>
      <x:c r="D48" s="193" t="str">
        <x:v>$cmd(　　　静夜思·李白\r\n床前明月光，疑是地上霜。\r\n举头望明月，低头思故乡。\r\n,『静夜思』)</x:v>
      </x:c>
      <x:c r="E48" s="193" t="str">
        <x:v>插入《静夜思》固定多行文本</x:v>
      </x:c>
      <x:c r="F48" s="193" t="str">
        <x:v>作为受控静态文本一次上屏，保留明确换行。</x:v>
      </x:c>
      <x:c r="G48" s="194" t="str">
        <x:v>可直接实现</x:v>
      </x:c>
      <x:c r="H48" s="194" t="str">
        <x:v>内容固定、无外部副作用；不解释为命令。</x:v>
      </x:c>
      <x:c r="I48" s="195" t="str"/>
      <x:c r="J48" s="196" t="str"/>
      <x:c r="K48" s="197" t="str">
        <x:v>待项目审批</x:v>
      </x:c>
      <x:c r="L48" s="197" t="str">
        <x:v>审批后纳入</x:v>
      </x:c>
    </x:row>
  </x:sheetData>
  <x:mergeCells>
    <x:mergeCell ref="A1:L1"/>
    <x:mergeCell ref="A2:L2"/>
  </x:mergeCells>
  <x:conditionalFormatting sqref="G5:G48">
    <x:cfRule type="containsText" dxfId="0" priority="1" operator="containsText" text="可直接实现"/>
    <x:cfRule type="containsText" dxfId="1" priority="2" operator="containsText" text="需要客户确认"/>
    <x:cfRule type="containsText" dxfId="2" priority="3" operator="containsText" text="平台不支持/安全拒绝"/>
  </x:conditionalFormatting>
  <x:dataValidations count="2">
    <x:dataValidation type="list" sqref="I5:I48">
      <x:formula1>"同意建议实现,按原需求实现（请说明）,不需要,待讨论"</x:formula1>
    </x:dataValidation>
    <x:dataValidation type="list" sqref="K5:K48">
      <x:formula1>"待项目审批,批准实现,拒绝,已实现"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147466766a46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08" t="str">
        <x:v>确认口径、安全边界与审批流程</x:v>
      </x:c>
      <x:c r="B1" s="109"/>
      <x:c r="C1" s="109"/>
      <x:c r="D1" s="109"/>
      <x:c r="E1" s="109"/>
      <x:c r="F1" s="109"/>
      <x:c r="G1" s="109"/>
      <x:c r="H1" s="109"/>
    </x:row>
    <x:row r="2">
      <x:c r="A2" s="109"/>
      <x:c r="B2" s="109"/>
      <x:c r="C2" s="109"/>
      <x:c r="D2" s="109"/>
      <x:c r="E2" s="109"/>
      <x:c r="F2" s="109"/>
      <x:c r="G2" s="109"/>
      <x:c r="H2" s="109"/>
    </x:row>
    <x:row r="3">
      <x:c r="A3" s="235" t="str">
        <x:v>一、三类结论怎么理解</x:v>
      </x:c>
      <x:c r="B3" s="109"/>
      <x:c r="C3" s="109"/>
      <x:c r="D3" s="109"/>
      <x:c r="E3" s="109"/>
      <x:c r="F3" s="109"/>
      <x:c r="G3" s="109"/>
      <x:c r="H3" s="109"/>
    </x:row>
    <x:row r="4" ht="42" customHeight="1">
      <x:c r="A4" s="236" t="str">
        <x:v>可直接实现</x:v>
      </x:c>
      <x:c r="B4" s="237"/>
      <x:c r="C4" s="237" t="str">
        <x:v>平台和项目受控协议存在明确、安全的实现路径；仍需客户确认需求并由项目组审批后开发。</x:v>
      </x:c>
      <x:c r="D4" s="237"/>
      <x:c r="E4" s="237"/>
      <x:c r="F4" s="237"/>
      <x:c r="G4" s="237"/>
      <x:c r="H4" s="238"/>
    </x:row>
    <x:row r="5" ht="42" customHeight="1">
      <x:c r="A5" s="239" t="str">
        <x:v>需要客户确认</x:v>
      </x:c>
      <x:c r="B5" s="240"/>
      <x:c r="C5" s="240" t="str">
        <x:v>目标可做，但语义、数据范围、交互或安全替代尚未冻结；客户回复前不进入实现。</x:v>
      </x:c>
      <x:c r="D5" s="240"/>
      <x:c r="E5" s="240"/>
      <x:c r="F5" s="240"/>
      <x:c r="G5" s="240"/>
      <x:c r="H5" s="241"/>
    </x:row>
    <x:row r="6" ht="42" customHeight="1">
      <x:c r="A6" s="242" t="str">
        <x:v>平台不支持/安全拒绝</x:v>
      </x:c>
      <x:c r="B6" s="243"/>
      <x:c r="C6" s="243" t="str">
        <x:v>原行为不能原样交付，例如任意命令执行、明文 HTTP、静默剪贴板外发、全局系统控制或绕过沙箱路径。</x:v>
      </x:c>
      <x:c r="D6" s="243"/>
      <x:c r="E6" s="243"/>
      <x:c r="F6" s="243"/>
      <x:c r="G6" s="243"/>
      <x:c r="H6" s="244"/>
    </x:row>
    <x:row r="7">
      <x:c r="A7" s="109"/>
      <x:c r="B7" s="109"/>
      <x:c r="C7" s="109"/>
      <x:c r="D7" s="109"/>
      <x:c r="E7" s="109"/>
      <x:c r="F7" s="109"/>
      <x:c r="G7" s="109"/>
      <x:c r="H7" s="109"/>
    </x:row>
    <x:row r="8">
      <x:c r="A8" s="109"/>
      <x:c r="B8" s="109"/>
      <x:c r="C8" s="109"/>
      <x:c r="D8" s="109"/>
      <x:c r="E8" s="109"/>
      <x:c r="F8" s="109"/>
      <x:c r="G8" s="109"/>
      <x:c r="H8" s="109"/>
    </x:row>
    <x:row r="9">
      <x:c r="A9" s="235" t="str">
        <x:v>二、为什么不能把 44 条原文直接执行</x:v>
      </x:c>
      <x:c r="B9" s="109"/>
      <x:c r="C9" s="109"/>
      <x:c r="D9" s="109"/>
      <x:c r="E9" s="109"/>
      <x:c r="F9" s="109"/>
      <x:c r="G9" s="109"/>
      <x:c r="H9" s="109"/>
    </x:row>
    <x:row r="10" ht="38" customHeight="1">
      <x:c r="A10" s="138" t="str">
        <x:v>1. 客户文件中的 $cmd、URL、路径和占位符属于需求输入，不属于项目可执行代码；应用不会解释任意命令字符串。</x:v>
      </x:c>
      <x:c r="B10" s="109"/>
      <x:c r="C10" s="109"/>
      <x:c r="D10" s="109"/>
      <x:c r="E10" s="109"/>
      <x:c r="F10" s="109"/>
      <x:c r="G10" s="109"/>
      <x:c r="H10" s="109"/>
    </x:row>
    <x:row r="11" ht="38" customHeight="1">
      <x:c r="A11" s="139" t="str">
        <x:v>2. “#直”候选语义与“执行动作”不同：普通 #直 记录可作为候选文本，但命令/URL 型记录必须经过固定动作 ID、参数白名单和跨层校验。</x:v>
      </x:c>
      <x:c r="B11" s="109"/>
      <x:c r="C11" s="109"/>
      <x:c r="D11" s="109"/>
      <x:c r="E11" s="109"/>
      <x:c r="F11" s="109"/>
      <x:c r="G11" s="109"/>
      <x:c r="H11" s="109"/>
    </x:row>
    <x:row r="12" ht="38" customHeight="1">
      <x:c r="A12" s="138" t="str">
        <x:v>3. 外部网页仅允许：用户显式触发 + 固定 HTTPS 域名/模板 + 最小数据范围 + URL 编码 + 明确失败提示。</x:v>
      </x:c>
      <x:c r="B12" s="109"/>
      <x:c r="C12" s="109"/>
      <x:c r="D12" s="109"/>
      <x:c r="E12" s="109"/>
      <x:c r="F12" s="109"/>
      <x:c r="G12" s="109"/>
      <x:c r="H12" s="109"/>
    </x:row>
    <x:row r="13" ht="38" customHeight="1">
      <x:c r="A13" s="139" t="str">
        <x:v>4. 文件仅允许通过系统选择器授权，应用不读取任意绝对路径；剪贴板和编辑器正文不自动发送到第三方。</x:v>
      </x:c>
      <x:c r="B13" s="109"/>
      <x:c r="C13" s="109"/>
      <x:c r="D13" s="109"/>
      <x:c r="E13" s="109"/>
      <x:c r="F13" s="109"/>
      <x:c r="G13" s="109"/>
      <x:c r="H13" s="109"/>
    </x:row>
    <x:row r="14" ht="38" customHeight="1">
      <x:c r="A14" s="138" t="str">
        <x:v>5. 现有已批准动作（重复、条件撤销、六组成对符号、行末定位、受控方案/分类、授权用户词库导入）继续有效，不因本表自动扩大。</x:v>
      </x:c>
      <x:c r="B14" s="109"/>
      <x:c r="C14" s="109"/>
      <x:c r="D14" s="109"/>
      <x:c r="E14" s="109"/>
      <x:c r="F14" s="109"/>
      <x:c r="G14" s="109"/>
      <x:c r="H14" s="109"/>
    </x:row>
    <x:row r="15">
      <x:c r="A15" s="109"/>
      <x:c r="B15" s="109"/>
      <x:c r="C15" s="109"/>
      <x:c r="D15" s="109"/>
      <x:c r="E15" s="109"/>
      <x:c r="F15" s="109"/>
      <x:c r="G15" s="109"/>
      <x:c r="H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</x:row>
    <x:row r="17">
      <x:c r="A17" s="235" t="str">
        <x:v>三、审批流程</x:v>
      </x:c>
      <x:c r="B17" s="109"/>
      <x:c r="C17" s="109"/>
      <x:c r="D17" s="109"/>
      <x:c r="E17" s="109"/>
      <x:c r="F17" s="109"/>
      <x:c r="G17" s="109"/>
      <x:c r="H17" s="109"/>
    </x:row>
    <x:row r="18" ht="38" customHeight="1">
      <x:c r="A18" s="245" t="str">
        <x:v>1 客户逐项确认</x:v>
      </x:c>
      <x:c r="B18" s="246"/>
      <x:c r="C18" s="247" t="str">
        <x:v>填写 I/J 列；对“按原需求实现”给出示例、边界和验收标准。</x:v>
      </x:c>
      <x:c r="D18" s="247"/>
      <x:c r="E18" s="247"/>
      <x:c r="F18" s="247"/>
      <x:c r="G18" s="247"/>
      <x:c r="H18" s="248"/>
    </x:row>
    <x:row r="19" ht="38" customHeight="1">
      <x:c r="A19" s="245" t="str">
        <x:v>2 项目安全/产品审批</x:v>
      </x:c>
      <x:c r="B19" s="246"/>
      <x:c r="C19" s="247" t="str">
        <x:v>项目组填写 K/L 列，冻结固定动作 ID、参数、权限和失败行为。</x:v>
      </x:c>
      <x:c r="D19" s="247"/>
      <x:c r="E19" s="247"/>
      <x:c r="F19" s="247"/>
      <x:c r="G19" s="247"/>
      <x:c r="H19" s="248"/>
    </x:row>
    <x:row r="20" ht="38" customHeight="1">
      <x:c r="A20" s="245" t="str">
        <x:v>3 开发与自动化测试</x:v>
      </x:c>
      <x:c r="B20" s="246"/>
      <x:c r="C20" s="247" t="str">
        <x:v>只实现批准项，补齐 ArkTS、Native/Rust、持久化和回滚测试。</x:v>
      </x:c>
      <x:c r="D20" s="247"/>
      <x:c r="E20" s="247"/>
      <x:c r="F20" s="247"/>
      <x:c r="G20" s="247"/>
      <x:c r="H20" s="248"/>
    </x:row>
    <x:row r="21" ht="38" customHeight="1">
      <x:c r="A21" s="245" t="str">
        <x:v>4 设备验收</x:v>
      </x:c>
      <x:c r="B21" s="246"/>
      <x:c r="C21" s="247" t="str">
        <x:v>在 Phone、Pad、2in1 按批准口径逐项复验并形成可追溯证据。</x:v>
      </x:c>
      <x:c r="D21" s="247"/>
      <x:c r="E21" s="247"/>
      <x:c r="F21" s="247"/>
      <x:c r="G21" s="247"/>
      <x:c r="H21" s="248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249" t="str">
        <x:v>源文件：双羽词库分类/双羽词库/5.直通.txt；本表共引用 44 条非空命令或 URL 记录，来源行号保留在逐项表 B 列。</x:v>
      </x:c>
      <x:c r="B23" s="109"/>
      <x:c r="C23" s="109"/>
      <x:c r="D23" s="109"/>
      <x:c r="E23" s="109"/>
      <x:c r="F23" s="109"/>
      <x:c r="G23" s="109"/>
      <x:c r="H23" s="109"/>
    </x:row>
  </x:sheetData>
  <x:mergeCells>
    <x:mergeCell ref="A1:H1"/>
    <x:mergeCell ref="A3:H3"/>
    <x:mergeCell ref="A4:B4"/>
    <x:mergeCell ref="C4:H4"/>
    <x:mergeCell ref="A5:B5"/>
    <x:mergeCell ref="C5:H5"/>
    <x:mergeCell ref="A6:B6"/>
    <x:mergeCell ref="C6:H6"/>
    <x:mergeCell ref="A9:H9"/>
    <x:mergeCell ref="A10:H10"/>
    <x:mergeCell ref="A11:H11"/>
    <x:mergeCell ref="A12:H12"/>
    <x:mergeCell ref="A13:H13"/>
    <x:mergeCell ref="A14:H14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</x:mergeCells>
  <x:pageMargins left="0.7" right="0.7" top="0.75" bottom="0.75" header="0.3" footer="0.3"/>
</x:worksheet>
</file>